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&amp;L" sheetId="2" state="visible" r:id="rId4"/>
    <sheet name="Assumptions" sheetId="3" state="visible" r:id="rId5"/>
    <sheet name="Capex" sheetId="4" state="visible" r:id="rId6"/>
    <sheet name="Opex" sheetId="5" state="visible" r:id="rId7"/>
    <sheet name="Labor" sheetId="6" state="visible" r:id="rId8"/>
    <sheet name="Financing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<sst xmlns="http://schemas.openxmlformats.org/spreadsheetml/2006/main" count="336" uniqueCount="255">
  <si>
    <t xml:space="preserve">806 E Ramseur Mini Golf + Bar — P&amp;L model</t>
  </si>
  <si>
    <t xml:space="preserve">How to use</t>
  </si>
  <si>
    <t xml:space="preserve">1. Edit inputs on the Assumptions sheet. Blue text = hardcoded input. Yellow fill = key lever you should set.</t>
  </si>
  <si>
    <t xml:space="preserve">2. Pick the scenario that drives the 5-year projection in Assumptions!B23 (Bear, Base, Bull or My case).</t>
  </si>
  <si>
    <t xml:space="preserve">3. 'My case' (Assumptions column E) is yours: paste values copied from the Revenue Estimates page into E5.</t>
  </si>
  <si>
    <t xml:space="preserve">4. Black text = formula. Green text = link from another sheet. Don't type over black cells.</t>
  </si>
  <si>
    <t xml:space="preserve">Sheets</t>
  </si>
  <si>
    <t xml:space="preserve">Assumptions — revenue drivers by scenario, cost rates, financing, ramp.</t>
  </si>
  <si>
    <t xml:space="preserve">Capex — one-time project costs (low / base / high). Base column feeds Financing.</t>
  </si>
  <si>
    <t xml:space="preserve">Opex — fixed annual operating costs, year 1.</t>
  </si>
  <si>
    <t xml:space="preserve">Labor — salaried and hourly staffing plan.</t>
  </si>
  <si>
    <t xml:space="preserve">Financing — debt, equity and annual debt service.</t>
  </si>
  <si>
    <t xml:space="preserve">P&amp;L — stabilized year for all four scenarios, plus a 5-year projection for the selected scenario.</t>
  </si>
  <si>
    <t xml:space="preserve">All figures are planning estimates, not quotes. Sources are noted next to each input. Companion pages: 806 Ramseur Business Plan (HTML).</t>
  </si>
  <si>
    <t xml:space="preserve">Excludes depreciation, interest/principal split and income taxes; 'Cash flow after debt' = EBITDA minus total debt service.</t>
  </si>
  <si>
    <t xml:space="preserve">P&amp;L — stabilized year by scenario ($)</t>
  </si>
  <si>
    <t xml:space="preserve">Line</t>
  </si>
  <si>
    <t xml:space="preserve">Bear</t>
  </si>
  <si>
    <t xml:space="preserve">Base</t>
  </si>
  <si>
    <t xml:space="preserve">Bull</t>
  </si>
  <si>
    <t xml:space="preserve">My case</t>
  </si>
  <si>
    <t xml:space="preserve">Daytime players / yr</t>
  </si>
  <si>
    <t xml:space="preserve">Night players / yr</t>
  </si>
  <si>
    <t xml:space="preserve">Total rounds / yr</t>
  </si>
  <si>
    <t xml:space="preserve">Revenue</t>
  </si>
  <si>
    <t xml:space="preserve">Golf</t>
  </si>
  <si>
    <t xml:space="preserve">Bar</t>
  </si>
  <si>
    <t xml:space="preserve">Ice cream</t>
  </si>
  <si>
    <t xml:space="preserve">Private events</t>
  </si>
  <si>
    <t xml:space="preserve">Food truck fees</t>
  </si>
  <si>
    <t xml:space="preserve">Total revenue</t>
  </si>
  <si>
    <t xml:space="preserve">Cost of sales</t>
  </si>
  <si>
    <t xml:space="preserve">Bar COGS</t>
  </si>
  <si>
    <t xml:space="preserve">Ice cream COGS</t>
  </si>
  <si>
    <t xml:space="preserve">Event food + drink cost</t>
  </si>
  <si>
    <t xml:space="preserve">Gross profit</t>
  </si>
  <si>
    <t xml:space="preserve">Gross margin</t>
  </si>
  <si>
    <t xml:space="preserve">Operating costs</t>
  </si>
  <si>
    <t xml:space="preserve">Labor (fully loaded)</t>
  </si>
  <si>
    <t xml:space="preserve">Fixed opex</t>
  </si>
  <si>
    <t xml:space="preserve">Card processing</t>
  </si>
  <si>
    <t xml:space="preserve">Marketing</t>
  </si>
  <si>
    <t xml:space="preserve">Total operating costs</t>
  </si>
  <si>
    <t xml:space="preserve">EBITDA</t>
  </si>
  <si>
    <t xml:space="preserve">EBITDA margin</t>
  </si>
  <si>
    <t xml:space="preserve">Debt service</t>
  </si>
  <si>
    <t xml:space="preserve">Cash flow after debt</t>
  </si>
  <si>
    <t xml:space="preserve">Cash-on-cash return on equity</t>
  </si>
  <si>
    <t xml:space="preserve">Debt service coverage (EBITDA / debt service)</t>
  </si>
  <si>
    <t xml:space="preserve">Revenue per round</t>
  </si>
  <si>
    <t xml:space="preserve">Labor % of revenue</t>
  </si>
  <si>
    <t xml:space="preserve">5-year projection — selected scenario:</t>
  </si>
  <si>
    <t xml:space="preserve">Year 1</t>
  </si>
  <si>
    <t xml:space="preserve">Year 2</t>
  </si>
  <si>
    <t xml:space="preserve">Year 3</t>
  </si>
  <si>
    <t xml:space="preserve">Year 4</t>
  </si>
  <si>
    <t xml:space="preserve">Year 5</t>
  </si>
  <si>
    <t xml:space="preserve">Volume vs. stabilized</t>
  </si>
  <si>
    <t xml:space="preserve">Labor</t>
  </si>
  <si>
    <t xml:space="preserve">Card + marketing</t>
  </si>
  <si>
    <t xml:space="preserve">Cumulative cash flow</t>
  </si>
  <si>
    <t xml:space="preserve">Equity left to recover</t>
  </si>
  <si>
    <t xml:space="preserve">Notes: excludes depreciation and income taxes. Labor held at the selected scenario's level from year 1; volume ramp applies to revenue and variable costs only.</t>
  </si>
  <si>
    <t xml:space="preserve">Assumptions</t>
  </si>
  <si>
    <t xml:space="preserve">Blue = input · Yellow = key lever · Column E (My case) starts equal to Base; paste your own values into E5:E19.</t>
  </si>
  <si>
    <t xml:space="preserve">Revenue driver</t>
  </si>
  <si>
    <t xml:space="preserve">Unit</t>
  </si>
  <si>
    <t xml:space="preserve">Note / source</t>
  </si>
  <si>
    <t xml:space="preserve">Operating days per year</t>
  </si>
  <si>
    <t xml:space="preserve">days</t>
  </si>
  <si>
    <t xml:space="preserve">Closed for weather/holidays; 9 holes are covered</t>
  </si>
  <si>
    <t xml:space="preserve">Daytime players per day (families)</t>
  </si>
  <si>
    <t xml:space="preserve">players</t>
  </si>
  <si>
    <t xml:space="preserve">Families, afternoons</t>
  </si>
  <si>
    <t xml:space="preserve">Night players per day (adults)</t>
  </si>
  <si>
    <t xml:space="preserve">Adults, evenings</t>
  </si>
  <si>
    <t xml:space="preserve">Golf price, daytime (blended kid/adult)</t>
  </si>
  <si>
    <t xml:space="preserve">$</t>
  </si>
  <si>
    <t xml:space="preserve">Bull City Mini charged $7 (2019); Puttery Raleigh $20 unlimited</t>
  </si>
  <si>
    <t xml:space="preserve">Golf price, night</t>
  </si>
  <si>
    <t xml:space="preserve">Night premium</t>
  </si>
  <si>
    <t xml:space="preserve">Ice cream spend per daytime player</t>
  </si>
  <si>
    <t xml:space="preserve">Per daytime player</t>
  </si>
  <si>
    <t xml:space="preserve">Ice cream spend per night player</t>
  </si>
  <si>
    <t xml:space="preserve">Per night player</t>
  </si>
  <si>
    <t xml:space="preserve">Bar spend per daytime player</t>
  </si>
  <si>
    <t xml:space="preserve">Parents with kids</t>
  </si>
  <si>
    <t xml:space="preserve">Bar spend per night player</t>
  </si>
  <si>
    <t xml:space="preserve">Main profit driver</t>
  </si>
  <si>
    <t xml:space="preserve">Bar-only guests per night (no golf)</t>
  </si>
  <si>
    <t xml:space="preserve">guests</t>
  </si>
  <si>
    <t xml:space="preserve">Guests who drink but don't play</t>
  </si>
  <si>
    <t xml:space="preserve">Spend per bar-only guest</t>
  </si>
  <si>
    <t xml:space="preserve">Per bar-only guest</t>
  </si>
  <si>
    <t xml:space="preserve">Private events per year</t>
  </si>
  <si>
    <t xml:space="preserve">events</t>
  </si>
  <si>
    <t xml:space="preserve">Birthdays, corporate buyouts</t>
  </si>
  <si>
    <t xml:space="preserve">Average event package</t>
  </si>
  <si>
    <t xml:space="preserve">Golf + F&amp;B package</t>
  </si>
  <si>
    <t xml:space="preserve">Food trucks per operating day</t>
  </si>
  <si>
    <t xml:space="preserve">trucks</t>
  </si>
  <si>
    <t xml:space="preserve">Food trucks on site per open day</t>
  </si>
  <si>
    <t xml:space="preserve">Fee per truck per day (paid to us)</t>
  </si>
  <si>
    <t xml:space="preserve">Flat fee trucks pay us; their sales are theirs</t>
  </si>
  <si>
    <t xml:space="preserve">Hourly labor hours vs. Base (scaling)</t>
  </si>
  <si>
    <t xml:space="preserve">x</t>
  </si>
  <si>
    <t xml:space="preserve">More players need more host/bar/ice cream hours</t>
  </si>
  <si>
    <t xml:space="preserve">Scenario driving 5-year projection</t>
  </si>
  <si>
    <t xml:space="preserve">← pick Bear, Base, Bull or My case</t>
  </si>
  <si>
    <t xml:space="preserve">Cost and finance input</t>
  </si>
  <si>
    <t xml:space="preserve">Value</t>
  </si>
  <si>
    <t xml:space="preserve">Bar cost of goods</t>
  </si>
  <si>
    <t xml:space="preserve">% of bar sales</t>
  </si>
  <si>
    <t xml:space="preserve">Estimate</t>
  </si>
  <si>
    <t xml:space="preserve">Ice cream cost of goods</t>
  </si>
  <si>
    <t xml:space="preserve">% of ice cream sales</t>
  </si>
  <si>
    <t xml:space="preserve">% of event sales</t>
  </si>
  <si>
    <t xml:space="preserve">% of sales excl. truck fees</t>
  </si>
  <si>
    <t xml:space="preserve">% of total sales</t>
  </si>
  <si>
    <t xml:space="preserve">Capex contingency</t>
  </si>
  <si>
    <t xml:space="preserve">% of non-acquisition capex</t>
  </si>
  <si>
    <t xml:space="preserve">Working capital reserve</t>
  </si>
  <si>
    <t xml:space="preserve">Assessed value for property tax</t>
  </si>
  <si>
    <t xml:space="preserve">Assumes assessed = purchase price</t>
  </si>
  <si>
    <t xml:space="preserve">Durham County tax rate</t>
  </si>
  <si>
    <t xml:space="preserve">$ per $100</t>
  </si>
  <si>
    <t xml:space="preserve">FY2026-27 adopted, dconc.gov (June 2026)</t>
  </si>
  <si>
    <t xml:space="preserve">City of Durham tax rate</t>
  </si>
  <si>
    <t xml:space="preserve">FY2025-26 proposed, durhamnc.gov; verify adopted rate</t>
  </si>
  <si>
    <t xml:space="preserve">Weeks per year (hourly staff)</t>
  </si>
  <si>
    <t xml:space="preserve">weeks</t>
  </si>
  <si>
    <t xml:space="preserve">Hourly payroll burden</t>
  </si>
  <si>
    <t xml:space="preserve">% of wages</t>
  </si>
  <si>
    <t xml:space="preserve">FICA + unemployment</t>
  </si>
  <si>
    <t xml:space="preserve">Salaried burden incl. benefits</t>
  </si>
  <si>
    <t xml:space="preserve">% of salary</t>
  </si>
  <si>
    <t xml:space="preserve">FICA + unemployment + health</t>
  </si>
  <si>
    <t xml:space="preserve">Debt as % of total project</t>
  </si>
  <si>
    <t xml:space="preserve">%</t>
  </si>
  <si>
    <t xml:space="preserve">SBA 504/7(a) can go higher</t>
  </si>
  <si>
    <t xml:space="preserve">Interest rate</t>
  </si>
  <si>
    <t xml:space="preserve">% per year</t>
  </si>
  <si>
    <t xml:space="preserve">Amortization</t>
  </si>
  <si>
    <t xml:space="preserve">years</t>
  </si>
  <si>
    <t xml:space="preserve">Cost inflation (years 2-5)</t>
  </si>
  <si>
    <t xml:space="preserve">Year 1 volume vs. stabilized</t>
  </si>
  <si>
    <t xml:space="preserve">Ramp-up to maturity</t>
  </si>
  <si>
    <t xml:space="preserve">Year 2 volume vs. stabilized</t>
  </si>
  <si>
    <t xml:space="preserve">Year 3 volume vs. stabilized</t>
  </si>
  <si>
    <t xml:space="preserve">Year 4 volume vs. stabilized</t>
  </si>
  <si>
    <t xml:space="preserve">Year 5 volume vs. stabilized</t>
  </si>
  <si>
    <t xml:space="preserve">One-time project costs</t>
  </si>
  <si>
    <t xml:space="preserve">Category</t>
  </si>
  <si>
    <t xml:space="preserve">Item</t>
  </si>
  <si>
    <t xml:space="preserve">Low</t>
  </si>
  <si>
    <t xml:space="preserve">High</t>
  </si>
  <si>
    <t xml:space="preserve">Basis</t>
  </si>
  <si>
    <t xml:space="preserve">Acquisition</t>
  </si>
  <si>
    <t xml:space="preserve">Purchase price</t>
  </si>
  <si>
    <t xml:space="preserve">Owner target $1.8M; broker asking $2.2M ($176/SF)</t>
  </si>
  <si>
    <t xml:space="preserve">Closing costs (~2%)</t>
  </si>
  <si>
    <t xml:space="preserve">Estimate: legal, title, recording, lender fees</t>
  </si>
  <si>
    <t xml:space="preserve">Due diligence: Phase I ESA, survey, inspection, zoning letter</t>
  </si>
  <si>
    <t xml:space="preserve">Estimate; industrial site since mid-1900s</t>
  </si>
  <si>
    <t xml:space="preserve">Soft costs</t>
  </si>
  <si>
    <t xml:space="preserve">Architecture, engineering, permit fees</t>
  </si>
  <si>
    <t xml:space="preserve">Estimate; change of use needs sealed drawings</t>
  </si>
  <si>
    <t xml:space="preserve">Building</t>
  </si>
  <si>
    <t xml:space="preserve">Change-of-use code work: sprinklers, egress, ADA restrooms</t>
  </si>
  <si>
    <t xml:space="preserve">Estimate; largest unknown, see Issues</t>
  </si>
  <si>
    <t xml:space="preserve">Air movement: HVLS fans, evaporative cooling, patio heaters</t>
  </si>
  <si>
    <t xml:space="preserve">Building is not air-conditioned</t>
  </si>
  <si>
    <t xml:space="preserve">Course</t>
  </si>
  <si>
    <t xml:space="preserve">9 covered holes inside building ($15k/hole)</t>
  </si>
  <si>
    <t xml:space="preserve">Industry per-hole range ~$6.7k-$27.8k</t>
  </si>
  <si>
    <t xml:space="preserve">9 outdoor holes in yard ($15k/hole)</t>
  </si>
  <si>
    <t xml:space="preserve">Same per-hole range</t>
  </si>
  <si>
    <t xml:space="preserve">Outdoor course site work, drainage, lighting</t>
  </si>
  <si>
    <t xml:space="preserve">Bar + food</t>
  </si>
  <si>
    <t xml:space="preserve">Bar build-out: bar, coolers, draft, ice machine, POS</t>
  </si>
  <si>
    <t xml:space="preserve">Ice cream stand: dipping cabinet, freezers, window, sink</t>
  </si>
  <si>
    <t xml:space="preserve">Food truck court: power pedestals, pad, grease/trash area</t>
  </si>
  <si>
    <t xml:space="preserve">Security</t>
  </si>
  <si>
    <t xml:space="preserve">Perimeter security fence + 2 gates</t>
  </si>
  <si>
    <t xml:space="preserve">~600 LF of 8 ft steel @ $90/LF; see Expenses</t>
  </si>
  <si>
    <t xml:space="preserve">Cameras + site lighting</t>
  </si>
  <si>
    <t xml:space="preserve">Site</t>
  </si>
  <si>
    <t xml:space="preserve">Patio, shade structures, outdoor furniture</t>
  </si>
  <si>
    <t xml:space="preserve">Signage and branding</t>
  </si>
  <si>
    <t xml:space="preserve">Equipment</t>
  </si>
  <si>
    <t xml:space="preserve">Putters, balls, scoring, POS hardware, smallwares</t>
  </si>
  <si>
    <t xml:space="preserve">Opening</t>
  </si>
  <si>
    <t xml:space="preserve">Pre-opening: hiring, training, launch marketing, ABC permits</t>
  </si>
  <si>
    <t xml:space="preserve">Subtotal: acquisition</t>
  </si>
  <si>
    <t xml:space="preserve">Subtotal: build-out and opening</t>
  </si>
  <si>
    <t xml:space="preserve">Contingency</t>
  </si>
  <si>
    <t xml:space="preserve">Total project cost</t>
  </si>
  <si>
    <t xml:space="preserve">Fence detail: ~600 LF of 8 ft ornamental/welded steel at $90/LF + 2 gates ($8,000). Range $60-$150/LF (MFR Corp, 2025-26). Low = keep chain link + slats (~$12/LF).</t>
  </si>
  <si>
    <t xml:space="preserve">Course per-hole cost range ~$6.7k-$27.8k comes from a low-quality aggregator; replace with builder bids.</t>
  </si>
  <si>
    <t xml:space="preserve">Fixed annual operating costs (year 1)</t>
  </si>
  <si>
    <t xml:space="preserve">Property tax</t>
  </si>
  <si>
    <t xml:space="preserve">Assessed value assumed = $1.8M; county 57.92c + city 43.71c per $100</t>
  </si>
  <si>
    <t xml:space="preserve">Insurance: GL, liquor liability, property, umbrella</t>
  </si>
  <si>
    <t xml:space="preserve">Estimate; one NC bar operator reports under $20k for a location</t>
  </si>
  <si>
    <t xml:space="preserve">Utilities (no HVAC; coolers, fans, lighting, water)</t>
  </si>
  <si>
    <t xml:space="preserve">Building repairs + maintenance</t>
  </si>
  <si>
    <t xml:space="preserve">Estimate; 1948 Class C building</t>
  </si>
  <si>
    <t xml:space="preserve">Course + turf maintenance</t>
  </si>
  <si>
    <t xml:space="preserve">POS, booking, software</t>
  </si>
  <si>
    <t xml:space="preserve">ABC permits + local licenses (renewals)</t>
  </si>
  <si>
    <t xml:space="preserve">Mixed beverages $1,000; malt $400; wine $400; local</t>
  </si>
  <si>
    <t xml:space="preserve">Music licensing (ASCAP/BMI/SESAC)</t>
  </si>
  <si>
    <t xml:space="preserve">Trash, recycling, pest control</t>
  </si>
  <si>
    <t xml:space="preserve">Alarm + camera monitoring</t>
  </si>
  <si>
    <t xml:space="preserve">Accounting + legal</t>
  </si>
  <si>
    <t xml:space="preserve">Operating supplies (balls, putters, scorecards)</t>
  </si>
  <si>
    <t xml:space="preserve">Total fixed opex</t>
  </si>
  <si>
    <t xml:space="preserve">Labor plan (Base volume)</t>
  </si>
  <si>
    <t xml:space="preserve">Salaried role</t>
  </si>
  <si>
    <t xml:space="preserve">Annual</t>
  </si>
  <si>
    <t xml:space="preserve">Note</t>
  </si>
  <si>
    <t xml:space="preserve">General Manager</t>
  </si>
  <si>
    <t xml:space="preserve">Recommended band $65k-$75k + up to 10% bonus</t>
  </si>
  <si>
    <t xml:space="preserve">Assistant GM / Bar Manager</t>
  </si>
  <si>
    <t xml:space="preserve">Durham bar manager postings ~$38k-$67k</t>
  </si>
  <si>
    <t xml:space="preserve">GM performance bonus (target)</t>
  </si>
  <si>
    <t xml:space="preserve">Up to 10% of GM salary</t>
  </si>
  <si>
    <t xml:space="preserve">Salaried wages subtotal</t>
  </si>
  <si>
    <t xml:space="preserve">Hourly role</t>
  </si>
  <si>
    <t xml:space="preserve">Hrs/week</t>
  </si>
  <si>
    <t xml:space="preserve">Rate</t>
  </si>
  <si>
    <t xml:space="preserve">Annual wages</t>
  </si>
  <si>
    <t xml:space="preserve">Course host / cashier</t>
  </si>
  <si>
    <t xml:space="preserve">~2 on shift across ~75 open hrs/week</t>
  </si>
  <si>
    <t xml:space="preserve">Ice cream attendant</t>
  </si>
  <si>
    <t xml:space="preserve">Afternoons + early evening</t>
  </si>
  <si>
    <t xml:space="preserve">Bartender</t>
  </si>
  <si>
    <t xml:space="preserve">Base wage above NC tipped minimum ($2.13); tips on top</t>
  </si>
  <si>
    <t xml:space="preserve">Barback / porter</t>
  </si>
  <si>
    <t xml:space="preserve">Cleaning, restocking, glassware</t>
  </si>
  <si>
    <t xml:space="preserve">Maintenance tech (part-time)</t>
  </si>
  <si>
    <t xml:space="preserve">Course + building upkeep</t>
  </si>
  <si>
    <t xml:space="preserve">Door / security (Fri-Sat nights)</t>
  </si>
  <si>
    <t xml:space="preserve">ID checks, closing</t>
  </si>
  <si>
    <t xml:space="preserve">Hourly wages subtotal (Base)</t>
  </si>
  <si>
    <t xml:space="preserve">Fully loaded labor, Base</t>
  </si>
  <si>
    <t xml:space="preserve">Bartender rate is base wage above NC's $2.13 tipped minimum; tips are paid by guests and not in this model.</t>
  </si>
  <si>
    <t xml:space="preserve">Financing</t>
  </si>
  <si>
    <t xml:space="preserve">Total project cost (Capex, base)</t>
  </si>
  <si>
    <t xml:space="preserve">Debt %</t>
  </si>
  <si>
    <t xml:space="preserve">Loan amount</t>
  </si>
  <si>
    <t xml:space="preserve">Equity required</t>
  </si>
  <si>
    <t xml:space="preserve">Amortization (years)</t>
  </si>
  <si>
    <t xml:space="preserve">Annual debt service</t>
  </si>
  <si>
    <t xml:space="preserve">Total debt service shown (principal + interest). Split into interest and principal for tax work with your lender/CPA.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</si>
</sst>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#,##0;\(#,##0\);\-"/>
    <numFmt numFmtId="166" formatCode="\$#,##0;&quot;($&quot;#,##0\);\-"/>
    <numFmt numFmtId="167" formatCode="0.0%;\(0.0%\);\-"/>
    <numFmt numFmtId="168" formatCode="0.00\x"/>
    <numFmt numFmtId="169" formatCode="\$#,##0.00"/>
    <numFmt numFmtId="170" formatCode="#,##0.00;\(#,##0.00\);\-"/>
    <numFmt numFmtId="171" formatCode="0.0000"/>
    <numFmt numFmtId="172" formatCode="0.0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2B7448"/>
        <bgColor rgb="FF008080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2B7448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15" hidden="false" customHeight="false" outlineLevel="0" collapsed="false">
      <c r="A7" s="3" t="s">
        <v>5</v>
      </c>
    </row>
    <row r="8" customFormat="false" ht="15" hidden="false" customHeight="false" outlineLevel="0" collapsed="false">
      <c r="A8" s="3"/>
    </row>
    <row r="9" customFormat="false" ht="15" hidden="false" customHeight="false" outlineLevel="0" collapsed="false">
      <c r="A9" s="2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3" t="s">
        <v>8</v>
      </c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3" t="s">
        <v>10</v>
      </c>
    </row>
    <row r="14" customFormat="false" ht="15" hidden="false" customHeight="false" outlineLevel="0" collapsed="false">
      <c r="A14" s="3" t="s">
        <v>11</v>
      </c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/>
    </row>
    <row r="17" customFormat="false" ht="15" hidden="false" customHeight="false" outlineLevel="0" collapsed="false">
      <c r="A17" s="3" t="s">
        <v>13</v>
      </c>
    </row>
    <row r="18" customFormat="false" ht="15" hidden="false" customHeight="false" outlineLevel="0" collapsed="false">
      <c r="A18" s="3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5"/>
  </cols>
  <sheetData>
    <row r="1" customFormat="false" ht="17.35" hidden="false" customHeight="false" outlineLevel="0" collapsed="false">
      <c r="A1" s="1" t="s">
        <v>15</v>
      </c>
    </row>
    <row r="3" customFormat="false" ht="15" hidden="false" customHeight="false" outlineLevel="0" collapsed="false">
      <c r="A3" s="4" t="s">
        <v>16</v>
      </c>
      <c r="B3" s="5" t="s">
        <v>17</v>
      </c>
      <c r="C3" s="5" t="s">
        <v>18</v>
      </c>
      <c r="D3" s="5" t="s">
        <v>19</v>
      </c>
      <c r="E3" s="5" t="s">
        <v>20</v>
      </c>
    </row>
    <row r="4" customFormat="false" ht="15" hidden="false" customHeight="false" outlineLevel="0" collapsed="false">
      <c r="A4" s="3" t="s">
        <v>21</v>
      </c>
      <c r="B4" s="6" t="n">
        <f aca="false">Assumptions!B$6*Assumptions!B$5</f>
        <v>18600</v>
      </c>
      <c r="C4" s="6" t="n">
        <f aca="false">Assumptions!C$6*Assumptions!C$5</f>
        <v>29700</v>
      </c>
      <c r="D4" s="6" t="n">
        <f aca="false">Assumptions!D$6*Assumptions!D$5</f>
        <v>42500</v>
      </c>
      <c r="E4" s="6" t="n">
        <f aca="false">Assumptions!E$6*Assumptions!E$5</f>
        <v>29700</v>
      </c>
    </row>
    <row r="5" customFormat="false" ht="15" hidden="false" customHeight="false" outlineLevel="0" collapsed="false">
      <c r="A5" s="3" t="s">
        <v>22</v>
      </c>
      <c r="B5" s="6" t="n">
        <f aca="false">Assumptions!B$7*Assumptions!B$5</f>
        <v>17050</v>
      </c>
      <c r="C5" s="6" t="n">
        <f aca="false">Assumptions!C$7*Assumptions!C$5</f>
        <v>29700</v>
      </c>
      <c r="D5" s="6" t="n">
        <f aca="false">Assumptions!D$7*Assumptions!D$5</f>
        <v>45900</v>
      </c>
      <c r="E5" s="6" t="n">
        <f aca="false">Assumptions!E$7*Assumptions!E$5</f>
        <v>29700</v>
      </c>
    </row>
    <row r="6" customFormat="false" ht="15" hidden="false" customHeight="false" outlineLevel="0" collapsed="false">
      <c r="A6" s="3" t="s">
        <v>23</v>
      </c>
      <c r="B6" s="7" t="n">
        <f aca="false">B4+B5</f>
        <v>35650</v>
      </c>
      <c r="C6" s="7" t="n">
        <f aca="false">C4+C5</f>
        <v>59400</v>
      </c>
      <c r="D6" s="7" t="n">
        <f aca="false">D4+D5</f>
        <v>88400</v>
      </c>
      <c r="E6" s="7" t="n">
        <f aca="false">E4+E5</f>
        <v>59400</v>
      </c>
    </row>
    <row r="8" customFormat="false" ht="15" hidden="false" customHeight="false" outlineLevel="0" collapsed="false">
      <c r="A8" s="2" t="s">
        <v>24</v>
      </c>
    </row>
    <row r="9" customFormat="false" ht="15" hidden="false" customHeight="false" outlineLevel="0" collapsed="false">
      <c r="A9" s="3" t="s">
        <v>25</v>
      </c>
      <c r="B9" s="8" t="n">
        <f aca="false">B4*Assumptions!B$8+B5*Assumptions!B$9</f>
        <v>407650</v>
      </c>
      <c r="C9" s="8" t="n">
        <f aca="false">C4*Assumptions!C$8+C5*Assumptions!C$9</f>
        <v>742500</v>
      </c>
      <c r="D9" s="8" t="n">
        <f aca="false">D4*Assumptions!D$8+D5*Assumptions!D$9</f>
        <v>1244400</v>
      </c>
      <c r="E9" s="8" t="n">
        <f aca="false">E4*Assumptions!E$8+E5*Assumptions!E$9</f>
        <v>742500</v>
      </c>
    </row>
    <row r="10" customFormat="false" ht="15" hidden="false" customHeight="false" outlineLevel="0" collapsed="false">
      <c r="A10" s="3" t="s">
        <v>26</v>
      </c>
      <c r="B10" s="8" t="n">
        <f aca="false">B4*Assumptions!B$12+B5*Assumptions!B$13+Assumptions!B$14*Assumptions!B$5*Assumptions!B$15</f>
        <v>307210</v>
      </c>
      <c r="C10" s="8" t="n">
        <f aca="false">C4*Assumptions!C$12+C5*Assumptions!C$13+Assumptions!C$14*Assumptions!C$5*Assumptions!C$15</f>
        <v>688050</v>
      </c>
      <c r="D10" s="8" t="n">
        <f aca="false">D4*Assumptions!D$12+D5*Assumptions!D$13+Assumptions!D$14*Assumptions!D$5*Assumptions!D$15</f>
        <v>1286900</v>
      </c>
      <c r="E10" s="8" t="n">
        <f aca="false">E4*Assumptions!E$12+E5*Assumptions!E$13+Assumptions!E$14*Assumptions!E$5*Assumptions!E$15</f>
        <v>688050</v>
      </c>
    </row>
    <row r="11" customFormat="false" ht="15" hidden="false" customHeight="false" outlineLevel="0" collapsed="false">
      <c r="A11" s="3" t="s">
        <v>27</v>
      </c>
      <c r="B11" s="8" t="n">
        <f aca="false">B4*Assumptions!B$10+B5*Assumptions!B$11</f>
        <v>91450</v>
      </c>
      <c r="C11" s="8" t="n">
        <f aca="false">C4*Assumptions!C$10+C5*Assumptions!C$11</f>
        <v>178200</v>
      </c>
      <c r="D11" s="8" t="n">
        <f aca="false">D4*Assumptions!D$10+D5*Assumptions!D$11</f>
        <v>323850</v>
      </c>
      <c r="E11" s="8" t="n">
        <f aca="false">E4*Assumptions!E$10+E5*Assumptions!E$11</f>
        <v>178200</v>
      </c>
    </row>
    <row r="12" customFormat="false" ht="15" hidden="false" customHeight="false" outlineLevel="0" collapsed="false">
      <c r="A12" s="3" t="s">
        <v>28</v>
      </c>
      <c r="B12" s="8" t="n">
        <f aca="false">Assumptions!B$16*Assumptions!B$17</f>
        <v>36000</v>
      </c>
      <c r="C12" s="8" t="n">
        <f aca="false">Assumptions!C$16*Assumptions!C$17</f>
        <v>90000</v>
      </c>
      <c r="D12" s="8" t="n">
        <f aca="false">Assumptions!D$16*Assumptions!D$17</f>
        <v>198000</v>
      </c>
      <c r="E12" s="8" t="n">
        <f aca="false">Assumptions!E$16*Assumptions!E$17</f>
        <v>90000</v>
      </c>
    </row>
    <row r="13" customFormat="false" ht="15" hidden="false" customHeight="false" outlineLevel="0" collapsed="false">
      <c r="A13" s="3" t="s">
        <v>29</v>
      </c>
      <c r="B13" s="8" t="n">
        <f aca="false">Assumptions!B$18*Assumptions!B$5*Assumptions!B$19</f>
        <v>27900</v>
      </c>
      <c r="C13" s="8" t="n">
        <f aca="false">Assumptions!C$18*Assumptions!C$5*Assumptions!C$19</f>
        <v>49500</v>
      </c>
      <c r="D13" s="8" t="n">
        <f aca="false">Assumptions!D$18*Assumptions!D$5*Assumptions!D$19</f>
        <v>91800</v>
      </c>
      <c r="E13" s="8" t="n">
        <f aca="false">Assumptions!E$18*Assumptions!E$5*Assumptions!E$19</f>
        <v>49500</v>
      </c>
    </row>
    <row r="14" customFormat="false" ht="15" hidden="false" customHeight="false" outlineLevel="0" collapsed="false">
      <c r="A14" s="2" t="s">
        <v>30</v>
      </c>
      <c r="B14" s="9" t="n">
        <f aca="false">SUM(B9:B13)</f>
        <v>870210</v>
      </c>
      <c r="C14" s="9" t="n">
        <f aca="false">SUM(C9:C13)</f>
        <v>1748250</v>
      </c>
      <c r="D14" s="9" t="n">
        <f aca="false">SUM(D9:D13)</f>
        <v>3144950</v>
      </c>
      <c r="E14" s="9" t="n">
        <f aca="false">SUM(E9:E13)</f>
        <v>1748250</v>
      </c>
    </row>
    <row r="16" customFormat="false" ht="15" hidden="false" customHeight="false" outlineLevel="0" collapsed="false">
      <c r="A16" s="2" t="s">
        <v>31</v>
      </c>
    </row>
    <row r="17" customFormat="false" ht="15" hidden="false" customHeight="false" outlineLevel="0" collapsed="false">
      <c r="A17" s="3" t="s">
        <v>32</v>
      </c>
      <c r="B17" s="8" t="n">
        <f aca="false">B10*Assumptions!$B$26</f>
        <v>73730.4</v>
      </c>
      <c r="C17" s="8" t="n">
        <f aca="false">C10*Assumptions!$B$26</f>
        <v>165132</v>
      </c>
      <c r="D17" s="8" t="n">
        <f aca="false">D10*Assumptions!$B$26</f>
        <v>308856</v>
      </c>
      <c r="E17" s="8" t="n">
        <f aca="false">E10*Assumptions!$B$26</f>
        <v>165132</v>
      </c>
    </row>
    <row r="18" customFormat="false" ht="15" hidden="false" customHeight="false" outlineLevel="0" collapsed="false">
      <c r="A18" s="3" t="s">
        <v>33</v>
      </c>
      <c r="B18" s="8" t="n">
        <f aca="false">B11*Assumptions!$B$27</f>
        <v>27435</v>
      </c>
      <c r="C18" s="8" t="n">
        <f aca="false">C11*Assumptions!$B$27</f>
        <v>53460</v>
      </c>
      <c r="D18" s="8" t="n">
        <f aca="false">D11*Assumptions!$B$27</f>
        <v>97155</v>
      </c>
      <c r="E18" s="8" t="n">
        <f aca="false">E11*Assumptions!$B$27</f>
        <v>53460</v>
      </c>
    </row>
    <row r="19" customFormat="false" ht="15" hidden="false" customHeight="false" outlineLevel="0" collapsed="false">
      <c r="A19" s="3" t="s">
        <v>34</v>
      </c>
      <c r="B19" s="8" t="n">
        <f aca="false">B12*Assumptions!$B$28</f>
        <v>9000</v>
      </c>
      <c r="C19" s="8" t="n">
        <f aca="false">C12*Assumptions!$B$28</f>
        <v>22500</v>
      </c>
      <c r="D19" s="8" t="n">
        <f aca="false">D12*Assumptions!$B$28</f>
        <v>49500</v>
      </c>
      <c r="E19" s="8" t="n">
        <f aca="false">E12*Assumptions!$B$28</f>
        <v>22500</v>
      </c>
    </row>
    <row r="20" customFormat="false" ht="15" hidden="false" customHeight="false" outlineLevel="0" collapsed="false">
      <c r="A20" s="2" t="s">
        <v>35</v>
      </c>
      <c r="B20" s="9" t="n">
        <f aca="false">B14-SUM(B17:B19)</f>
        <v>760044.6</v>
      </c>
      <c r="C20" s="9" t="n">
        <f aca="false">C14-SUM(C17:C19)</f>
        <v>1507158</v>
      </c>
      <c r="D20" s="9" t="n">
        <f aca="false">D14-SUM(D17:D19)</f>
        <v>2689439</v>
      </c>
      <c r="E20" s="9" t="n">
        <f aca="false">E14-SUM(E17:E19)</f>
        <v>1507158</v>
      </c>
    </row>
    <row r="21" customFormat="false" ht="15" hidden="false" customHeight="false" outlineLevel="0" collapsed="false">
      <c r="A21" s="3" t="s">
        <v>36</v>
      </c>
      <c r="B21" s="10" t="n">
        <f aca="false">IF(B14=0,0,B20/B14)</f>
        <v>0.873403661185231</v>
      </c>
      <c r="C21" s="10" t="n">
        <f aca="false">IF(C14=0,0,C20/C14)</f>
        <v>0.862095238095238</v>
      </c>
      <c r="D21" s="10" t="n">
        <f aca="false">IF(D14=0,0,D20/D14)</f>
        <v>0.855161131337541</v>
      </c>
      <c r="E21" s="10" t="n">
        <f aca="false">IF(E14=0,0,E20/E14)</f>
        <v>0.862095238095238</v>
      </c>
    </row>
    <row r="23" customFormat="false" ht="15" hidden="false" customHeight="false" outlineLevel="0" collapsed="false">
      <c r="A23" s="2" t="s">
        <v>37</v>
      </c>
    </row>
    <row r="24" customFormat="false" ht="15" hidden="false" customHeight="false" outlineLevel="0" collapsed="false">
      <c r="A24" s="3" t="s">
        <v>38</v>
      </c>
      <c r="B24" s="11" t="n">
        <f aca="false">Labor!$D$16*Assumptions!B$20*(1+Assumptions!$B$37)+Labor!$B$7*(1+Assumptions!$B$38)</f>
        <v>423225.16</v>
      </c>
      <c r="C24" s="11" t="n">
        <f aca="false">Labor!$D$16*Assumptions!C$20*(1+Assumptions!$B$37)+Labor!$B$7*(1+Assumptions!$B$38)</f>
        <v>470569.6</v>
      </c>
      <c r="D24" s="11" t="n">
        <f aca="false">Labor!$D$16*Assumptions!D$20*(1+Assumptions!$B$37)+Labor!$B$7*(1+Assumptions!$B$38)</f>
        <v>581039.96</v>
      </c>
      <c r="E24" s="11" t="n">
        <f aca="false">Labor!$D$16*Assumptions!E$20*(1+Assumptions!$B$37)+Labor!$B$7*(1+Assumptions!$B$38)</f>
        <v>470569.6</v>
      </c>
    </row>
    <row r="25" customFormat="false" ht="15" hidden="false" customHeight="false" outlineLevel="0" collapsed="false">
      <c r="A25" s="3" t="s">
        <v>39</v>
      </c>
      <c r="B25" s="11" t="n">
        <f aca="false">Opex!$B$16</f>
        <v>178593.4</v>
      </c>
      <c r="C25" s="11" t="n">
        <f aca="false">Opex!$B$16</f>
        <v>178593.4</v>
      </c>
      <c r="D25" s="11" t="n">
        <f aca="false">Opex!$B$16</f>
        <v>178593.4</v>
      </c>
      <c r="E25" s="11" t="n">
        <f aca="false">Opex!$B$16</f>
        <v>178593.4</v>
      </c>
    </row>
    <row r="26" customFormat="false" ht="15" hidden="false" customHeight="false" outlineLevel="0" collapsed="false">
      <c r="A26" s="3" t="s">
        <v>40</v>
      </c>
      <c r="B26" s="8" t="n">
        <f aca="false">(B14-B13)*Assumptions!$B$29</f>
        <v>23163.525</v>
      </c>
      <c r="C26" s="8" t="n">
        <f aca="false">(C14-C13)*Assumptions!$B$29</f>
        <v>46715.625</v>
      </c>
      <c r="D26" s="8" t="n">
        <f aca="false">(D14-D13)*Assumptions!$B$29</f>
        <v>83961.625</v>
      </c>
      <c r="E26" s="8" t="n">
        <f aca="false">(E14-E13)*Assumptions!$B$29</f>
        <v>46715.625</v>
      </c>
    </row>
    <row r="27" customFormat="false" ht="15" hidden="false" customHeight="false" outlineLevel="0" collapsed="false">
      <c r="A27" s="3" t="s">
        <v>41</v>
      </c>
      <c r="B27" s="8" t="n">
        <f aca="false">B14*Assumptions!$B$30</f>
        <v>34808.4</v>
      </c>
      <c r="C27" s="8" t="n">
        <f aca="false">C14*Assumptions!$B$30</f>
        <v>69930</v>
      </c>
      <c r="D27" s="8" t="n">
        <f aca="false">D14*Assumptions!$B$30</f>
        <v>125798</v>
      </c>
      <c r="E27" s="8" t="n">
        <f aca="false">E14*Assumptions!$B$30</f>
        <v>69930</v>
      </c>
    </row>
    <row r="28" customFormat="false" ht="15" hidden="false" customHeight="false" outlineLevel="0" collapsed="false">
      <c r="A28" s="2" t="s">
        <v>42</v>
      </c>
      <c r="B28" s="9" t="n">
        <f aca="false">SUM(B24:B27)</f>
        <v>659790.485</v>
      </c>
      <c r="C28" s="9" t="n">
        <f aca="false">SUM(C24:C27)</f>
        <v>765808.625</v>
      </c>
      <c r="D28" s="9" t="n">
        <f aca="false">SUM(D24:D27)</f>
        <v>969392.985</v>
      </c>
      <c r="E28" s="9" t="n">
        <f aca="false">SUM(E24:E27)</f>
        <v>765808.625</v>
      </c>
    </row>
    <row r="30" customFormat="false" ht="15" hidden="false" customHeight="false" outlineLevel="0" collapsed="false">
      <c r="A30" s="2" t="s">
        <v>43</v>
      </c>
      <c r="B30" s="12" t="n">
        <f aca="false">B20-B28</f>
        <v>100254.115</v>
      </c>
      <c r="C30" s="12" t="n">
        <f aca="false">C20-C28</f>
        <v>741349.375</v>
      </c>
      <c r="D30" s="12" t="n">
        <f aca="false">D20-D28</f>
        <v>1720046.015</v>
      </c>
      <c r="E30" s="12" t="n">
        <f aca="false">E20-E28</f>
        <v>741349.375</v>
      </c>
    </row>
    <row r="31" customFormat="false" ht="15" hidden="false" customHeight="false" outlineLevel="0" collapsed="false">
      <c r="A31" s="3" t="s">
        <v>44</v>
      </c>
      <c r="B31" s="10" t="n">
        <f aca="false">IF(B14=0,0,B30/B14)</f>
        <v>0.115206806403052</v>
      </c>
      <c r="C31" s="10" t="n">
        <f aca="false">IF(C14=0,0,C30/C14)</f>
        <v>0.424052266552267</v>
      </c>
      <c r="D31" s="10" t="n">
        <f aca="false">IF(D14=0,0,D30/D14)</f>
        <v>0.546923167299957</v>
      </c>
      <c r="E31" s="10" t="n">
        <f aca="false">IF(E14=0,0,E30/E14)</f>
        <v>0.424052266552267</v>
      </c>
    </row>
    <row r="32" customFormat="false" ht="15" hidden="false" customHeight="false" outlineLevel="0" collapsed="false">
      <c r="A32" s="3" t="s">
        <v>45</v>
      </c>
      <c r="B32" s="11" t="n">
        <f aca="false">Financing!$B$9</f>
        <v>203082.129518705</v>
      </c>
      <c r="C32" s="11" t="n">
        <f aca="false">Financing!$B$9</f>
        <v>203082.129518705</v>
      </c>
      <c r="D32" s="11" t="n">
        <f aca="false">Financing!$B$9</f>
        <v>203082.129518705</v>
      </c>
      <c r="E32" s="11" t="n">
        <f aca="false">Financing!$B$9</f>
        <v>203082.129518705</v>
      </c>
    </row>
    <row r="33" customFormat="false" ht="15" hidden="false" customHeight="false" outlineLevel="0" collapsed="false">
      <c r="A33" s="2" t="s">
        <v>46</v>
      </c>
      <c r="B33" s="9" t="n">
        <f aca="false">B30-B32</f>
        <v>-102828.014518705</v>
      </c>
      <c r="C33" s="9" t="n">
        <f aca="false">C30-C32</f>
        <v>538267.245481295</v>
      </c>
      <c r="D33" s="9" t="n">
        <f aca="false">D30-D32</f>
        <v>1516963.8854813</v>
      </c>
      <c r="E33" s="9" t="n">
        <f aca="false">E30-E32</f>
        <v>538267.245481295</v>
      </c>
    </row>
    <row r="34" customFormat="false" ht="15" hidden="false" customHeight="false" outlineLevel="0" collapsed="false">
      <c r="A34" s="3" t="s">
        <v>47</v>
      </c>
      <c r="B34" s="10" t="n">
        <f aca="false">IF(Financing!$B$6=0,0,B33/Financing!$B$6)</f>
        <v>-0.102475498802823</v>
      </c>
      <c r="C34" s="10" t="n">
        <f aca="false">IF(Financing!$B$6=0,0,C33/Financing!$B$6)</f>
        <v>0.536421953959674</v>
      </c>
      <c r="D34" s="10" t="n">
        <f aca="false">IF(Financing!$B$6=0,0,D33/Financing!$B$6)</f>
        <v>1.51176341931884</v>
      </c>
      <c r="E34" s="10" t="n">
        <f aca="false">IF(Financing!$B$6=0,0,E33/Financing!$B$6)</f>
        <v>0.536421953959674</v>
      </c>
    </row>
    <row r="35" customFormat="false" ht="15" hidden="false" customHeight="false" outlineLevel="0" collapsed="false">
      <c r="A35" s="3" t="s">
        <v>48</v>
      </c>
      <c r="B35" s="13" t="n">
        <f aca="false">IF(B32=0,0,B30/B32)</f>
        <v>0.49366290986606</v>
      </c>
      <c r="C35" s="13" t="n">
        <f aca="false">IF(C32=0,0,C30/C32)</f>
        <v>3.650490453084</v>
      </c>
      <c r="D35" s="13" t="n">
        <f aca="false">IF(D32=0,0,D30/D32)</f>
        <v>8.4697064142297</v>
      </c>
      <c r="E35" s="13" t="n">
        <f aca="false">IF(E32=0,0,E30/E32)</f>
        <v>3.650490453084</v>
      </c>
    </row>
    <row r="36" customFormat="false" ht="15" hidden="false" customHeight="false" outlineLevel="0" collapsed="false">
      <c r="A36" s="3" t="s">
        <v>49</v>
      </c>
      <c r="B36" s="14" t="n">
        <f aca="false">IF(B6=0,0,B14/B6)</f>
        <v>24.4098176718093</v>
      </c>
      <c r="C36" s="14" t="n">
        <f aca="false">IF(C6=0,0,C14/C6)</f>
        <v>29.4318181818182</v>
      </c>
      <c r="D36" s="14" t="n">
        <f aca="false">IF(D6=0,0,D14/D6)</f>
        <v>35.5763574660634</v>
      </c>
      <c r="E36" s="14" t="n">
        <f aca="false">IF(E6=0,0,E14/E6)</f>
        <v>29.4318181818182</v>
      </c>
    </row>
    <row r="37" customFormat="false" ht="15" hidden="false" customHeight="false" outlineLevel="0" collapsed="false">
      <c r="A37" s="3" t="s">
        <v>50</v>
      </c>
      <c r="B37" s="10" t="n">
        <f aca="false">IF(B14=0,0,B24/B14)</f>
        <v>0.486348306730559</v>
      </c>
      <c r="C37" s="10" t="n">
        <f aca="false">IF(C14=0,0,C24/C14)</f>
        <v>0.26916608036608</v>
      </c>
      <c r="D37" s="10" t="n">
        <f aca="false">IF(D14=0,0,D24/D14)</f>
        <v>0.184753321992401</v>
      </c>
      <c r="E37" s="10" t="n">
        <f aca="false">IF(E14=0,0,E24/E14)</f>
        <v>0.26916608036608</v>
      </c>
    </row>
    <row r="40" customFormat="false" ht="17.35" hidden="false" customHeight="false" outlineLevel="0" collapsed="false">
      <c r="A40" s="1" t="s">
        <v>51</v>
      </c>
      <c r="C40" s="2" t="str">
        <f aca="false">Assumptions!$B$23</f>
        <v>Base</v>
      </c>
    </row>
    <row r="41" customFormat="false" ht="15" hidden="false" customHeight="false" outlineLevel="0" collapsed="false">
      <c r="A41" s="4" t="s">
        <v>16</v>
      </c>
      <c r="B41" s="5" t="s">
        <v>52</v>
      </c>
      <c r="C41" s="5" t="s">
        <v>53</v>
      </c>
      <c r="D41" s="5" t="s">
        <v>54</v>
      </c>
      <c r="E41" s="5" t="s">
        <v>55</v>
      </c>
      <c r="F41" s="5" t="s">
        <v>56</v>
      </c>
    </row>
    <row r="42" customFormat="false" ht="15" hidden="false" customHeight="false" outlineLevel="0" collapsed="false">
      <c r="A42" s="3" t="s">
        <v>57</v>
      </c>
      <c r="B42" s="15" t="n">
        <f aca="false">Assumptions!$B$43</f>
        <v>0.75</v>
      </c>
      <c r="C42" s="15" t="n">
        <f aca="false">Assumptions!$B$44</f>
        <v>0.9</v>
      </c>
      <c r="D42" s="15" t="n">
        <f aca="false">Assumptions!$B$45</f>
        <v>1</v>
      </c>
      <c r="E42" s="15" t="n">
        <f aca="false">Assumptions!$B$46</f>
        <v>1.03</v>
      </c>
      <c r="F42" s="15" t="n">
        <f aca="false">Assumptions!$B$47</f>
        <v>1.06</v>
      </c>
    </row>
    <row r="43" customFormat="false" ht="15" hidden="false" customHeight="false" outlineLevel="0" collapsed="false">
      <c r="A43" s="2" t="s">
        <v>24</v>
      </c>
      <c r="B43" s="12" t="n">
        <f aca="false">INDEX($B$14:$E$14,MATCH(Assumptions!$B$23,$B$3:$E$3,0))*B42</f>
        <v>1311187.5</v>
      </c>
      <c r="C43" s="12" t="n">
        <f aca="false">INDEX($B$14:$E$14,MATCH(Assumptions!$B$23,$B$3:$E$3,0))*C42</f>
        <v>1573425</v>
      </c>
      <c r="D43" s="12" t="n">
        <f aca="false">INDEX($B$14:$E$14,MATCH(Assumptions!$B$23,$B$3:$E$3,0))*D42</f>
        <v>1748250</v>
      </c>
      <c r="E43" s="12" t="n">
        <f aca="false">INDEX($B$14:$E$14,MATCH(Assumptions!$B$23,$B$3:$E$3,0))*E42</f>
        <v>1800697.5</v>
      </c>
      <c r="F43" s="12" t="n">
        <f aca="false">INDEX($B$14:$E$14,MATCH(Assumptions!$B$23,$B$3:$E$3,0))*F42</f>
        <v>1853145</v>
      </c>
    </row>
    <row r="44" customFormat="false" ht="15" hidden="false" customHeight="false" outlineLevel="0" collapsed="false">
      <c r="A44" s="3" t="s">
        <v>31</v>
      </c>
      <c r="B44" s="8" t="n">
        <f aca="false">(INDEX($B$14:$E$14,MATCH(Assumptions!$B$23,$B$3:$E$3,0))-INDEX($B$20:$E$20,MATCH(Assumptions!$B$23,$B$3:$E$3,0)))*B42</f>
        <v>180819</v>
      </c>
      <c r="C44" s="8" t="n">
        <f aca="false">(INDEX($B$14:$E$14,MATCH(Assumptions!$B$23,$B$3:$E$3,0))-INDEX($B$20:$E$20,MATCH(Assumptions!$B$23,$B$3:$E$3,0)))*C42</f>
        <v>216982.8</v>
      </c>
      <c r="D44" s="8" t="n">
        <f aca="false">(INDEX($B$14:$E$14,MATCH(Assumptions!$B$23,$B$3:$E$3,0))-INDEX($B$20:$E$20,MATCH(Assumptions!$B$23,$B$3:$E$3,0)))*D42</f>
        <v>241092</v>
      </c>
      <c r="E44" s="8" t="n">
        <f aca="false">(INDEX($B$14:$E$14,MATCH(Assumptions!$B$23,$B$3:$E$3,0))-INDEX($B$20:$E$20,MATCH(Assumptions!$B$23,$B$3:$E$3,0)))*E42</f>
        <v>248324.76</v>
      </c>
      <c r="F44" s="8" t="n">
        <f aca="false">(INDEX($B$14:$E$14,MATCH(Assumptions!$B$23,$B$3:$E$3,0))-INDEX($B$20:$E$20,MATCH(Assumptions!$B$23,$B$3:$E$3,0)))*F42</f>
        <v>255557.52</v>
      </c>
    </row>
    <row r="45" customFormat="false" ht="15" hidden="false" customHeight="false" outlineLevel="0" collapsed="false">
      <c r="A45" s="3" t="s">
        <v>35</v>
      </c>
      <c r="B45" s="16" t="n">
        <f aca="false">B43-B44</f>
        <v>1130368.5</v>
      </c>
      <c r="C45" s="16" t="n">
        <f aca="false">C43-C44</f>
        <v>1356442.2</v>
      </c>
      <c r="D45" s="16" t="n">
        <f aca="false">D43-D44</f>
        <v>1507158</v>
      </c>
      <c r="E45" s="16" t="n">
        <f aca="false">E43-E44</f>
        <v>1552372.74</v>
      </c>
      <c r="F45" s="16" t="n">
        <f aca="false">F43-F44</f>
        <v>1597587.48</v>
      </c>
    </row>
    <row r="46" customFormat="false" ht="15" hidden="false" customHeight="false" outlineLevel="0" collapsed="false">
      <c r="A46" s="3" t="s">
        <v>58</v>
      </c>
      <c r="B46" s="8" t="n">
        <f aca="false">INDEX($B$24:$E$24,MATCH(Assumptions!$B$23,$B$3:$E$3,0))*(1+Assumptions!$B$42)^0</f>
        <v>470569.6</v>
      </c>
      <c r="C46" s="8" t="n">
        <f aca="false">INDEX($B$24:$E$24,MATCH(Assumptions!$B$23,$B$3:$E$3,0))*(1+Assumptions!$B$42)^1</f>
        <v>484686.688</v>
      </c>
      <c r="D46" s="8" t="n">
        <f aca="false">INDEX($B$24:$E$24,MATCH(Assumptions!$B$23,$B$3:$E$3,0))*(1+Assumptions!$B$42)^2</f>
        <v>499227.28864</v>
      </c>
      <c r="E46" s="8" t="n">
        <f aca="false">INDEX($B$24:$E$24,MATCH(Assumptions!$B$23,$B$3:$E$3,0))*(1+Assumptions!$B$42)^3</f>
        <v>514204.1072992</v>
      </c>
      <c r="F46" s="8" t="n">
        <f aca="false">INDEX($B$24:$E$24,MATCH(Assumptions!$B$23,$B$3:$E$3,0))*(1+Assumptions!$B$42)^4</f>
        <v>529630.230518176</v>
      </c>
    </row>
    <row r="47" customFormat="false" ht="15" hidden="false" customHeight="false" outlineLevel="0" collapsed="false">
      <c r="A47" s="3" t="s">
        <v>39</v>
      </c>
      <c r="B47" s="11" t="n">
        <f aca="false">Opex!$B$16*(1+Assumptions!$B$42)^0</f>
        <v>178593.4</v>
      </c>
      <c r="C47" s="11" t="n">
        <f aca="false">Opex!$B$16*(1+Assumptions!$B$42)^1</f>
        <v>183951.202</v>
      </c>
      <c r="D47" s="11" t="n">
        <f aca="false">Opex!$B$16*(1+Assumptions!$B$42)^2</f>
        <v>189469.73806</v>
      </c>
      <c r="E47" s="11" t="n">
        <f aca="false">Opex!$B$16*(1+Assumptions!$B$42)^3</f>
        <v>195153.8302018</v>
      </c>
      <c r="F47" s="11" t="n">
        <f aca="false">Opex!$B$16*(1+Assumptions!$B$42)^4</f>
        <v>201008.445107854</v>
      </c>
    </row>
    <row r="48" customFormat="false" ht="15" hidden="false" customHeight="false" outlineLevel="0" collapsed="false">
      <c r="A48" s="3" t="s">
        <v>59</v>
      </c>
      <c r="B48" s="8" t="n">
        <f aca="false">(INDEX($B$28:$E$28,MATCH(Assumptions!$B$23,$B$3:$E$3,0))-INDEX($B$24:$E$24,MATCH(Assumptions!$B$23,$B$3:$E$3,0))-Opex!$B$16)*B42</f>
        <v>87484.21875</v>
      </c>
      <c r="C48" s="8" t="n">
        <f aca="false">(INDEX($B$28:$E$28,MATCH(Assumptions!$B$23,$B$3:$E$3,0))-INDEX($B$24:$E$24,MATCH(Assumptions!$B$23,$B$3:$E$3,0))-Opex!$B$16)*C42</f>
        <v>104981.0625</v>
      </c>
      <c r="D48" s="8" t="n">
        <f aca="false">(INDEX($B$28:$E$28,MATCH(Assumptions!$B$23,$B$3:$E$3,0))-INDEX($B$24:$E$24,MATCH(Assumptions!$B$23,$B$3:$E$3,0))-Opex!$B$16)*D42</f>
        <v>116645.625</v>
      </c>
      <c r="E48" s="8" t="n">
        <f aca="false">(INDEX($B$28:$E$28,MATCH(Assumptions!$B$23,$B$3:$E$3,0))-INDEX($B$24:$E$24,MATCH(Assumptions!$B$23,$B$3:$E$3,0))-Opex!$B$16)*E42</f>
        <v>120144.99375</v>
      </c>
      <c r="F48" s="8" t="n">
        <f aca="false">(INDEX($B$28:$E$28,MATCH(Assumptions!$B$23,$B$3:$E$3,0))-INDEX($B$24:$E$24,MATCH(Assumptions!$B$23,$B$3:$E$3,0))-Opex!$B$16)*F42</f>
        <v>123644.3625</v>
      </c>
    </row>
    <row r="49" customFormat="false" ht="15" hidden="false" customHeight="false" outlineLevel="0" collapsed="false">
      <c r="A49" s="2" t="s">
        <v>43</v>
      </c>
      <c r="B49" s="9" t="n">
        <f aca="false">B45-B46-B47-B48</f>
        <v>393721.28125</v>
      </c>
      <c r="C49" s="9" t="n">
        <f aca="false">C45-C46-C47-C48</f>
        <v>582823.2475</v>
      </c>
      <c r="D49" s="9" t="n">
        <f aca="false">D45-D46-D47-D48</f>
        <v>701815.3483</v>
      </c>
      <c r="E49" s="9" t="n">
        <f aca="false">E45-E46-E47-E48</f>
        <v>722869.808749</v>
      </c>
      <c r="F49" s="9" t="n">
        <f aca="false">F45-F46-F47-F48</f>
        <v>743304.44187397</v>
      </c>
    </row>
    <row r="50" customFormat="false" ht="15" hidden="false" customHeight="false" outlineLevel="0" collapsed="false">
      <c r="A50" s="3" t="s">
        <v>45</v>
      </c>
      <c r="B50" s="11" t="n">
        <f aca="false">Financing!$B$9</f>
        <v>203082.129518705</v>
      </c>
      <c r="C50" s="11" t="n">
        <f aca="false">Financing!$B$9</f>
        <v>203082.129518705</v>
      </c>
      <c r="D50" s="11" t="n">
        <f aca="false">Financing!$B$9</f>
        <v>203082.129518705</v>
      </c>
      <c r="E50" s="11" t="n">
        <f aca="false">Financing!$B$9</f>
        <v>203082.129518705</v>
      </c>
      <c r="F50" s="11" t="n">
        <f aca="false">Financing!$B$9</f>
        <v>203082.129518705</v>
      </c>
    </row>
    <row r="51" customFormat="false" ht="15" hidden="false" customHeight="false" outlineLevel="0" collapsed="false">
      <c r="A51" s="2" t="s">
        <v>46</v>
      </c>
      <c r="B51" s="9" t="n">
        <f aca="false">B49-B50</f>
        <v>190639.151731295</v>
      </c>
      <c r="C51" s="9" t="n">
        <f aca="false">C49-C50</f>
        <v>379741.117981295</v>
      </c>
      <c r="D51" s="9" t="n">
        <f aca="false">D49-D50</f>
        <v>498733.218781295</v>
      </c>
      <c r="E51" s="9" t="n">
        <f aca="false">E49-E50</f>
        <v>519787.679230295</v>
      </c>
      <c r="F51" s="9" t="n">
        <f aca="false">F49-F50</f>
        <v>540222.312355265</v>
      </c>
    </row>
    <row r="52" customFormat="false" ht="15" hidden="false" customHeight="false" outlineLevel="0" collapsed="false">
      <c r="A52" s="3" t="s">
        <v>60</v>
      </c>
      <c r="B52" s="8" t="n">
        <f aca="false">B51</f>
        <v>190639.151731295</v>
      </c>
      <c r="C52" s="8" t="n">
        <f aca="false">B52+C51</f>
        <v>570380.26971259</v>
      </c>
      <c r="D52" s="8" t="n">
        <f aca="false">C52+D51</f>
        <v>1069113.48849389</v>
      </c>
      <c r="E52" s="8" t="n">
        <f aca="false">D52+E51</f>
        <v>1588901.16772418</v>
      </c>
      <c r="F52" s="8" t="n">
        <f aca="false">E52+F51</f>
        <v>2129123.48007945</v>
      </c>
    </row>
    <row r="53" customFormat="false" ht="15" hidden="false" customHeight="false" outlineLevel="0" collapsed="false">
      <c r="A53" s="3" t="s">
        <v>61</v>
      </c>
      <c r="B53" s="8" t="n">
        <f aca="false">Financing!$B$6-B52</f>
        <v>812800.848268705</v>
      </c>
      <c r="C53" s="8" t="n">
        <f aca="false">Financing!$B$6-C52</f>
        <v>433059.73028741</v>
      </c>
      <c r="D53" s="8" t="n">
        <f aca="false">Financing!$B$6-D52</f>
        <v>-65673.4884938854</v>
      </c>
      <c r="E53" s="8" t="n">
        <f aca="false">Financing!$B$6-E52</f>
        <v>-585461.167724181</v>
      </c>
      <c r="F53" s="8" t="n">
        <f aca="false">Financing!$B$6-F52</f>
        <v>-1125683.48007945</v>
      </c>
    </row>
    <row r="55" customFormat="false" ht="15" hidden="false" customHeight="false" outlineLevel="0" collapsed="false">
      <c r="A55" s="3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2"/>
    <col collapsed="false" customWidth="true" hidden="false" outlineLevel="0" max="6" min="6" style="0" width="22"/>
    <col collapsed="false" customWidth="true" hidden="false" outlineLevel="0" max="7" min="7" style="0" width="62"/>
  </cols>
  <sheetData>
    <row r="1" customFormat="false" ht="17.35" hidden="false" customHeight="false" outlineLevel="0" collapsed="false">
      <c r="A1" s="1" t="s">
        <v>63</v>
      </c>
    </row>
    <row r="2" customFormat="false" ht="15" hidden="false" customHeight="false" outlineLevel="0" collapsed="false">
      <c r="A2" s="3" t="s">
        <v>64</v>
      </c>
    </row>
    <row r="4" customFormat="false" ht="15" hidden="false" customHeight="false" outlineLevel="0" collapsed="false">
      <c r="A4" s="4" t="s">
        <v>65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66</v>
      </c>
      <c r="G4" s="5" t="s">
        <v>67</v>
      </c>
    </row>
    <row r="5" customFormat="false" ht="15" hidden="false" customHeight="false" outlineLevel="0" collapsed="false">
      <c r="A5" s="3" t="s">
        <v>68</v>
      </c>
      <c r="B5" s="17" t="n">
        <v>310</v>
      </c>
      <c r="C5" s="17" t="n">
        <v>330</v>
      </c>
      <c r="D5" s="17" t="n">
        <v>340</v>
      </c>
      <c r="E5" s="18" t="n">
        <v>330</v>
      </c>
      <c r="F5" s="3" t="s">
        <v>69</v>
      </c>
      <c r="G5" s="3" t="s">
        <v>70</v>
      </c>
    </row>
    <row r="6" customFormat="false" ht="15" hidden="false" customHeight="false" outlineLevel="0" collapsed="false">
      <c r="A6" s="3" t="s">
        <v>71</v>
      </c>
      <c r="B6" s="17" t="n">
        <v>60</v>
      </c>
      <c r="C6" s="17" t="n">
        <v>90</v>
      </c>
      <c r="D6" s="17" t="n">
        <v>125</v>
      </c>
      <c r="E6" s="18" t="n">
        <v>90</v>
      </c>
      <c r="F6" s="3" t="s">
        <v>72</v>
      </c>
      <c r="G6" s="3" t="s">
        <v>73</v>
      </c>
    </row>
    <row r="7" customFormat="false" ht="15" hidden="false" customHeight="false" outlineLevel="0" collapsed="false">
      <c r="A7" s="3" t="s">
        <v>74</v>
      </c>
      <c r="B7" s="17" t="n">
        <v>55</v>
      </c>
      <c r="C7" s="17" t="n">
        <v>90</v>
      </c>
      <c r="D7" s="17" t="n">
        <v>135</v>
      </c>
      <c r="E7" s="18" t="n">
        <v>90</v>
      </c>
      <c r="F7" s="3" t="s">
        <v>72</v>
      </c>
      <c r="G7" s="3" t="s">
        <v>75</v>
      </c>
    </row>
    <row r="8" customFormat="false" ht="15" hidden="false" customHeight="false" outlineLevel="0" collapsed="false">
      <c r="A8" s="3" t="s">
        <v>76</v>
      </c>
      <c r="B8" s="19" t="n">
        <v>10</v>
      </c>
      <c r="C8" s="19" t="n">
        <v>11</v>
      </c>
      <c r="D8" s="19" t="n">
        <v>12</v>
      </c>
      <c r="E8" s="20" t="n">
        <v>11</v>
      </c>
      <c r="F8" s="3" t="s">
        <v>77</v>
      </c>
      <c r="G8" s="3" t="s">
        <v>78</v>
      </c>
    </row>
    <row r="9" customFormat="false" ht="15" hidden="false" customHeight="false" outlineLevel="0" collapsed="false">
      <c r="A9" s="3" t="s">
        <v>79</v>
      </c>
      <c r="B9" s="19" t="n">
        <v>13</v>
      </c>
      <c r="C9" s="19" t="n">
        <v>14</v>
      </c>
      <c r="D9" s="19" t="n">
        <v>16</v>
      </c>
      <c r="E9" s="20" t="n">
        <v>14</v>
      </c>
      <c r="F9" s="3" t="s">
        <v>77</v>
      </c>
      <c r="G9" s="3" t="s">
        <v>80</v>
      </c>
    </row>
    <row r="10" customFormat="false" ht="15" hidden="false" customHeight="false" outlineLevel="0" collapsed="false">
      <c r="A10" s="3" t="s">
        <v>81</v>
      </c>
      <c r="B10" s="19" t="n">
        <v>4</v>
      </c>
      <c r="C10" s="19" t="n">
        <v>5</v>
      </c>
      <c r="D10" s="19" t="n">
        <v>6</v>
      </c>
      <c r="E10" s="20" t="n">
        <v>5</v>
      </c>
      <c r="F10" s="3" t="s">
        <v>77</v>
      </c>
      <c r="G10" s="3" t="s">
        <v>82</v>
      </c>
    </row>
    <row r="11" customFormat="false" ht="15" hidden="false" customHeight="false" outlineLevel="0" collapsed="false">
      <c r="A11" s="3" t="s">
        <v>83</v>
      </c>
      <c r="B11" s="19" t="n">
        <v>1</v>
      </c>
      <c r="C11" s="19" t="n">
        <v>1</v>
      </c>
      <c r="D11" s="19" t="n">
        <v>1.5</v>
      </c>
      <c r="E11" s="20" t="n">
        <v>1</v>
      </c>
      <c r="F11" s="3" t="s">
        <v>77</v>
      </c>
      <c r="G11" s="3" t="s">
        <v>84</v>
      </c>
    </row>
    <row r="12" customFormat="false" ht="15" hidden="false" customHeight="false" outlineLevel="0" collapsed="false">
      <c r="A12" s="3" t="s">
        <v>85</v>
      </c>
      <c r="B12" s="19" t="n">
        <v>2</v>
      </c>
      <c r="C12" s="19" t="n">
        <v>3</v>
      </c>
      <c r="D12" s="19" t="n">
        <v>4</v>
      </c>
      <c r="E12" s="20" t="n">
        <v>3</v>
      </c>
      <c r="F12" s="3" t="s">
        <v>77</v>
      </c>
      <c r="G12" s="3" t="s">
        <v>86</v>
      </c>
    </row>
    <row r="13" customFormat="false" ht="15" hidden="false" customHeight="false" outlineLevel="0" collapsed="false">
      <c r="A13" s="3" t="s">
        <v>87</v>
      </c>
      <c r="B13" s="19" t="n">
        <v>13</v>
      </c>
      <c r="C13" s="19" t="n">
        <v>16</v>
      </c>
      <c r="D13" s="19" t="n">
        <v>19</v>
      </c>
      <c r="E13" s="20" t="n">
        <v>16</v>
      </c>
      <c r="F13" s="3" t="s">
        <v>77</v>
      </c>
      <c r="G13" s="3" t="s">
        <v>88</v>
      </c>
    </row>
    <row r="14" customFormat="false" ht="15" hidden="false" customHeight="false" outlineLevel="0" collapsed="false">
      <c r="A14" s="3" t="s">
        <v>89</v>
      </c>
      <c r="B14" s="17" t="n">
        <v>12</v>
      </c>
      <c r="C14" s="17" t="n">
        <v>25</v>
      </c>
      <c r="D14" s="17" t="n">
        <v>45</v>
      </c>
      <c r="E14" s="18" t="n">
        <v>25</v>
      </c>
      <c r="F14" s="3" t="s">
        <v>90</v>
      </c>
      <c r="G14" s="3" t="s">
        <v>91</v>
      </c>
    </row>
    <row r="15" customFormat="false" ht="15" hidden="false" customHeight="false" outlineLevel="0" collapsed="false">
      <c r="A15" s="3" t="s">
        <v>92</v>
      </c>
      <c r="B15" s="19" t="n">
        <v>13</v>
      </c>
      <c r="C15" s="19" t="n">
        <v>15</v>
      </c>
      <c r="D15" s="19" t="n">
        <v>16</v>
      </c>
      <c r="E15" s="20" t="n">
        <v>15</v>
      </c>
      <c r="F15" s="3" t="s">
        <v>77</v>
      </c>
      <c r="G15" s="3" t="s">
        <v>93</v>
      </c>
    </row>
    <row r="16" customFormat="false" ht="15" hidden="false" customHeight="false" outlineLevel="0" collapsed="false">
      <c r="A16" s="3" t="s">
        <v>94</v>
      </c>
      <c r="B16" s="17" t="n">
        <v>30</v>
      </c>
      <c r="C16" s="17" t="n">
        <v>60</v>
      </c>
      <c r="D16" s="17" t="n">
        <v>110</v>
      </c>
      <c r="E16" s="18" t="n">
        <v>60</v>
      </c>
      <c r="F16" s="3" t="s">
        <v>95</v>
      </c>
      <c r="G16" s="3" t="s">
        <v>96</v>
      </c>
    </row>
    <row r="17" customFormat="false" ht="15" hidden="false" customHeight="false" outlineLevel="0" collapsed="false">
      <c r="A17" s="3" t="s">
        <v>97</v>
      </c>
      <c r="B17" s="19" t="n">
        <v>1200</v>
      </c>
      <c r="C17" s="19" t="n">
        <v>1500</v>
      </c>
      <c r="D17" s="19" t="n">
        <v>1800</v>
      </c>
      <c r="E17" s="20" t="n">
        <v>1500</v>
      </c>
      <c r="F17" s="3" t="s">
        <v>77</v>
      </c>
      <c r="G17" s="3" t="s">
        <v>98</v>
      </c>
    </row>
    <row r="18" customFormat="false" ht="15" hidden="false" customHeight="false" outlineLevel="0" collapsed="false">
      <c r="A18" s="3" t="s">
        <v>99</v>
      </c>
      <c r="B18" s="17" t="n">
        <v>1.5</v>
      </c>
      <c r="C18" s="17" t="n">
        <v>2</v>
      </c>
      <c r="D18" s="17" t="n">
        <v>3</v>
      </c>
      <c r="E18" s="18" t="n">
        <v>2</v>
      </c>
      <c r="F18" s="3" t="s">
        <v>100</v>
      </c>
      <c r="G18" s="3" t="s">
        <v>101</v>
      </c>
    </row>
    <row r="19" customFormat="false" ht="15" hidden="false" customHeight="false" outlineLevel="0" collapsed="false">
      <c r="A19" s="3" t="s">
        <v>102</v>
      </c>
      <c r="B19" s="19" t="n">
        <v>60</v>
      </c>
      <c r="C19" s="19" t="n">
        <v>75</v>
      </c>
      <c r="D19" s="19" t="n">
        <v>90</v>
      </c>
      <c r="E19" s="20" t="n">
        <v>75</v>
      </c>
      <c r="F19" s="3" t="s">
        <v>77</v>
      </c>
      <c r="G19" s="3" t="s">
        <v>103</v>
      </c>
    </row>
    <row r="20" customFormat="false" ht="15" hidden="false" customHeight="false" outlineLevel="0" collapsed="false">
      <c r="A20" s="3" t="s">
        <v>104</v>
      </c>
      <c r="B20" s="21" t="n">
        <v>0.85</v>
      </c>
      <c r="C20" s="21" t="n">
        <v>1</v>
      </c>
      <c r="D20" s="21" t="n">
        <v>1.35</v>
      </c>
      <c r="E20" s="22" t="n">
        <v>1</v>
      </c>
      <c r="F20" s="3" t="s">
        <v>105</v>
      </c>
      <c r="G20" s="3" t="s">
        <v>106</v>
      </c>
    </row>
    <row r="23" customFormat="false" ht="15" hidden="false" customHeight="false" outlineLevel="0" collapsed="false">
      <c r="A23" s="2" t="s">
        <v>107</v>
      </c>
      <c r="B23" s="23" t="s">
        <v>18</v>
      </c>
      <c r="C23" s="3" t="s">
        <v>108</v>
      </c>
    </row>
    <row r="25" customFormat="false" ht="15" hidden="false" customHeight="false" outlineLevel="0" collapsed="false">
      <c r="A25" s="4" t="s">
        <v>109</v>
      </c>
      <c r="B25" s="5" t="s">
        <v>110</v>
      </c>
      <c r="C25" s="5"/>
      <c r="D25" s="5"/>
      <c r="E25" s="5"/>
      <c r="F25" s="5" t="s">
        <v>66</v>
      </c>
      <c r="G25" s="5" t="s">
        <v>67</v>
      </c>
    </row>
    <row r="26" customFormat="false" ht="15" hidden="false" customHeight="false" outlineLevel="0" collapsed="false">
      <c r="A26" s="3" t="s">
        <v>111</v>
      </c>
      <c r="B26" s="24" t="n">
        <v>0.24</v>
      </c>
      <c r="F26" s="3" t="s">
        <v>112</v>
      </c>
      <c r="G26" s="3" t="s">
        <v>113</v>
      </c>
    </row>
    <row r="27" customFormat="false" ht="15" hidden="false" customHeight="false" outlineLevel="0" collapsed="false">
      <c r="A27" s="3" t="s">
        <v>114</v>
      </c>
      <c r="B27" s="24" t="n">
        <v>0.3</v>
      </c>
      <c r="F27" s="3" t="s">
        <v>115</v>
      </c>
      <c r="G27" s="3" t="s">
        <v>113</v>
      </c>
    </row>
    <row r="28" customFormat="false" ht="15" hidden="false" customHeight="false" outlineLevel="0" collapsed="false">
      <c r="A28" s="3" t="s">
        <v>34</v>
      </c>
      <c r="B28" s="24" t="n">
        <v>0.25</v>
      </c>
      <c r="F28" s="3" t="s">
        <v>116</v>
      </c>
      <c r="G28" s="3" t="s">
        <v>113</v>
      </c>
    </row>
    <row r="29" customFormat="false" ht="15" hidden="false" customHeight="false" outlineLevel="0" collapsed="false">
      <c r="A29" s="3" t="s">
        <v>40</v>
      </c>
      <c r="B29" s="24" t="n">
        <v>0.0275</v>
      </c>
      <c r="F29" s="3" t="s">
        <v>117</v>
      </c>
      <c r="G29" s="3" t="s">
        <v>113</v>
      </c>
    </row>
    <row r="30" customFormat="false" ht="15" hidden="false" customHeight="false" outlineLevel="0" collapsed="false">
      <c r="A30" s="3" t="s">
        <v>41</v>
      </c>
      <c r="B30" s="24" t="n">
        <v>0.04</v>
      </c>
      <c r="F30" s="3" t="s">
        <v>118</v>
      </c>
      <c r="G30" s="3" t="s">
        <v>113</v>
      </c>
    </row>
    <row r="31" customFormat="false" ht="15" hidden="false" customHeight="false" outlineLevel="0" collapsed="false">
      <c r="A31" s="3" t="s">
        <v>119</v>
      </c>
      <c r="B31" s="24" t="n">
        <v>0.15</v>
      </c>
      <c r="F31" s="3" t="s">
        <v>120</v>
      </c>
      <c r="G31" s="3" t="s">
        <v>113</v>
      </c>
    </row>
    <row r="32" customFormat="false" ht="15" hidden="false" customHeight="false" outlineLevel="0" collapsed="false">
      <c r="A32" s="3" t="s">
        <v>121</v>
      </c>
      <c r="B32" s="25" t="n">
        <v>100000</v>
      </c>
      <c r="F32" s="3" t="s">
        <v>77</v>
      </c>
      <c r="G32" s="3" t="s">
        <v>113</v>
      </c>
    </row>
    <row r="33" customFormat="false" ht="15" hidden="false" customHeight="false" outlineLevel="0" collapsed="false">
      <c r="A33" s="3" t="s">
        <v>122</v>
      </c>
      <c r="B33" s="26" t="n">
        <v>1800000</v>
      </c>
      <c r="F33" s="3" t="s">
        <v>77</v>
      </c>
      <c r="G33" s="3" t="s">
        <v>123</v>
      </c>
    </row>
    <row r="34" customFormat="false" ht="15" hidden="false" customHeight="false" outlineLevel="0" collapsed="false">
      <c r="A34" s="3" t="s">
        <v>124</v>
      </c>
      <c r="B34" s="27" t="n">
        <v>0.5792</v>
      </c>
      <c r="F34" s="3" t="s">
        <v>125</v>
      </c>
      <c r="G34" s="3" t="s">
        <v>126</v>
      </c>
    </row>
    <row r="35" customFormat="false" ht="15" hidden="false" customHeight="false" outlineLevel="0" collapsed="false">
      <c r="A35" s="3" t="s">
        <v>127</v>
      </c>
      <c r="B35" s="27" t="n">
        <v>0.4371</v>
      </c>
      <c r="F35" s="3" t="s">
        <v>125</v>
      </c>
      <c r="G35" s="3" t="s">
        <v>128</v>
      </c>
    </row>
    <row r="36" customFormat="false" ht="15" hidden="false" customHeight="false" outlineLevel="0" collapsed="false">
      <c r="A36" s="3" t="s">
        <v>129</v>
      </c>
      <c r="B36" s="17" t="n">
        <v>52</v>
      </c>
      <c r="F36" s="3" t="s">
        <v>130</v>
      </c>
      <c r="G36" s="3"/>
    </row>
    <row r="37" customFormat="false" ht="15" hidden="false" customHeight="false" outlineLevel="0" collapsed="false">
      <c r="A37" s="3" t="s">
        <v>131</v>
      </c>
      <c r="B37" s="24" t="n">
        <v>0.1</v>
      </c>
      <c r="F37" s="3" t="s">
        <v>132</v>
      </c>
      <c r="G37" s="3" t="s">
        <v>133</v>
      </c>
    </row>
    <row r="38" customFormat="false" ht="15" hidden="false" customHeight="false" outlineLevel="0" collapsed="false">
      <c r="A38" s="3" t="s">
        <v>134</v>
      </c>
      <c r="B38" s="24" t="n">
        <v>0.22</v>
      </c>
      <c r="F38" s="3" t="s">
        <v>135</v>
      </c>
      <c r="G38" s="3" t="s">
        <v>136</v>
      </c>
    </row>
    <row r="39" customFormat="false" ht="15" hidden="false" customHeight="false" outlineLevel="0" collapsed="false">
      <c r="A39" s="3" t="s">
        <v>137</v>
      </c>
      <c r="B39" s="28" t="n">
        <v>0.7</v>
      </c>
      <c r="F39" s="3" t="s">
        <v>138</v>
      </c>
      <c r="G39" s="3" t="s">
        <v>139</v>
      </c>
    </row>
    <row r="40" customFormat="false" ht="15" hidden="false" customHeight="false" outlineLevel="0" collapsed="false">
      <c r="A40" s="3" t="s">
        <v>140</v>
      </c>
      <c r="B40" s="29" t="n">
        <v>0.0725</v>
      </c>
      <c r="F40" s="3" t="s">
        <v>141</v>
      </c>
      <c r="G40" s="3" t="s">
        <v>113</v>
      </c>
    </row>
    <row r="41" customFormat="false" ht="15" hidden="false" customHeight="false" outlineLevel="0" collapsed="false">
      <c r="A41" s="3" t="s">
        <v>142</v>
      </c>
      <c r="B41" s="17" t="n">
        <v>25</v>
      </c>
      <c r="F41" s="3" t="s">
        <v>143</v>
      </c>
      <c r="G41" s="3"/>
    </row>
    <row r="42" customFormat="false" ht="15" hidden="false" customHeight="false" outlineLevel="0" collapsed="false">
      <c r="A42" s="3" t="s">
        <v>144</v>
      </c>
      <c r="B42" s="24" t="n">
        <v>0.03</v>
      </c>
      <c r="F42" s="3" t="s">
        <v>141</v>
      </c>
      <c r="G42" s="3" t="s">
        <v>113</v>
      </c>
    </row>
    <row r="43" customFormat="false" ht="15" hidden="false" customHeight="false" outlineLevel="0" collapsed="false">
      <c r="A43" s="3" t="s">
        <v>145</v>
      </c>
      <c r="B43" s="24" t="n">
        <v>0.75</v>
      </c>
      <c r="F43" s="3" t="s">
        <v>138</v>
      </c>
      <c r="G43" s="3" t="s">
        <v>146</v>
      </c>
    </row>
    <row r="44" customFormat="false" ht="15" hidden="false" customHeight="false" outlineLevel="0" collapsed="false">
      <c r="A44" s="3" t="s">
        <v>147</v>
      </c>
      <c r="B44" s="24" t="n">
        <v>0.9</v>
      </c>
      <c r="F44" s="3" t="s">
        <v>138</v>
      </c>
      <c r="G44" s="3" t="s">
        <v>146</v>
      </c>
    </row>
    <row r="45" customFormat="false" ht="15" hidden="false" customHeight="false" outlineLevel="0" collapsed="false">
      <c r="A45" s="3" t="s">
        <v>148</v>
      </c>
      <c r="B45" s="24" t="n">
        <v>1</v>
      </c>
      <c r="F45" s="3" t="s">
        <v>138</v>
      </c>
      <c r="G45" s="3" t="s">
        <v>146</v>
      </c>
    </row>
    <row r="46" customFormat="false" ht="15" hidden="false" customHeight="false" outlineLevel="0" collapsed="false">
      <c r="A46" s="3" t="s">
        <v>149</v>
      </c>
      <c r="B46" s="24" t="n">
        <v>1.03</v>
      </c>
      <c r="F46" s="3" t="s">
        <v>138</v>
      </c>
      <c r="G46" s="3" t="s">
        <v>146</v>
      </c>
    </row>
    <row r="47" customFormat="false" ht="15" hidden="false" customHeight="false" outlineLevel="0" collapsed="false">
      <c r="A47" s="3" t="s">
        <v>150</v>
      </c>
      <c r="B47" s="24" t="n">
        <v>1.06</v>
      </c>
      <c r="F47" s="3" t="s">
        <v>138</v>
      </c>
      <c r="G47" s="3" t="s">
        <v>146</v>
      </c>
    </row>
  </sheetData>
  <dataValidations count="1">
    <dataValidation allowBlank="false" errorStyle="stop" operator="between" showDropDown="false" showErrorMessage="false" showInputMessage="false" sqref="B23" type="list">
      <formula1>"Bear,Base,Bull,My case"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8"/>
    <col collapsed="false" customWidth="true" hidden="false" outlineLevel="0" max="5" min="3" style="0" width="13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151</v>
      </c>
    </row>
    <row r="3" customFormat="false" ht="15" hidden="false" customHeight="false" outlineLevel="0" collapsed="false">
      <c r="A3" s="4" t="s">
        <v>152</v>
      </c>
      <c r="B3" s="5" t="s">
        <v>153</v>
      </c>
      <c r="C3" s="5" t="s">
        <v>154</v>
      </c>
      <c r="D3" s="5" t="s">
        <v>18</v>
      </c>
      <c r="E3" s="5" t="s">
        <v>155</v>
      </c>
      <c r="F3" s="5" t="s">
        <v>156</v>
      </c>
    </row>
    <row r="4" customFormat="false" ht="15" hidden="false" customHeight="false" outlineLevel="0" collapsed="false">
      <c r="A4" s="3" t="s">
        <v>157</v>
      </c>
      <c r="B4" s="3" t="s">
        <v>158</v>
      </c>
      <c r="C4" s="25" t="n">
        <v>1800000</v>
      </c>
      <c r="D4" s="25" t="n">
        <v>1800000</v>
      </c>
      <c r="E4" s="25" t="n">
        <v>2200000</v>
      </c>
      <c r="F4" s="3" t="s">
        <v>159</v>
      </c>
    </row>
    <row r="5" customFormat="false" ht="15" hidden="false" customHeight="false" outlineLevel="0" collapsed="false">
      <c r="A5" s="3" t="s">
        <v>157</v>
      </c>
      <c r="B5" s="3" t="s">
        <v>160</v>
      </c>
      <c r="C5" s="25" t="n">
        <v>30000</v>
      </c>
      <c r="D5" s="25" t="n">
        <v>36000</v>
      </c>
      <c r="E5" s="25" t="n">
        <v>44000</v>
      </c>
      <c r="F5" s="3" t="s">
        <v>161</v>
      </c>
    </row>
    <row r="6" customFormat="false" ht="15" hidden="false" customHeight="false" outlineLevel="0" collapsed="false">
      <c r="A6" s="3" t="s">
        <v>157</v>
      </c>
      <c r="B6" s="3" t="s">
        <v>162</v>
      </c>
      <c r="C6" s="25" t="n">
        <v>10000</v>
      </c>
      <c r="D6" s="25" t="n">
        <v>15000</v>
      </c>
      <c r="E6" s="25" t="n">
        <v>25000</v>
      </c>
      <c r="F6" s="3" t="s">
        <v>163</v>
      </c>
    </row>
    <row r="7" customFormat="false" ht="15" hidden="false" customHeight="false" outlineLevel="0" collapsed="false">
      <c r="A7" s="3" t="s">
        <v>164</v>
      </c>
      <c r="B7" s="3" t="s">
        <v>165</v>
      </c>
      <c r="C7" s="25" t="n">
        <v>60000</v>
      </c>
      <c r="D7" s="25" t="n">
        <v>90000</v>
      </c>
      <c r="E7" s="25" t="n">
        <v>140000</v>
      </c>
      <c r="F7" s="3" t="s">
        <v>166</v>
      </c>
    </row>
    <row r="8" customFormat="false" ht="15" hidden="false" customHeight="false" outlineLevel="0" collapsed="false">
      <c r="A8" s="3" t="s">
        <v>167</v>
      </c>
      <c r="B8" s="3" t="s">
        <v>168</v>
      </c>
      <c r="C8" s="25" t="n">
        <v>150000</v>
      </c>
      <c r="D8" s="25" t="n">
        <v>250000</v>
      </c>
      <c r="E8" s="25" t="n">
        <v>450000</v>
      </c>
      <c r="F8" s="3" t="s">
        <v>169</v>
      </c>
    </row>
    <row r="9" customFormat="false" ht="15" hidden="false" customHeight="false" outlineLevel="0" collapsed="false">
      <c r="A9" s="3" t="s">
        <v>167</v>
      </c>
      <c r="B9" s="3" t="s">
        <v>170</v>
      </c>
      <c r="C9" s="25" t="n">
        <v>30000</v>
      </c>
      <c r="D9" s="25" t="n">
        <v>45000</v>
      </c>
      <c r="E9" s="25" t="n">
        <v>70000</v>
      </c>
      <c r="F9" s="3" t="s">
        <v>171</v>
      </c>
    </row>
    <row r="10" customFormat="false" ht="15" hidden="false" customHeight="false" outlineLevel="0" collapsed="false">
      <c r="A10" s="3" t="s">
        <v>172</v>
      </c>
      <c r="B10" s="3" t="s">
        <v>173</v>
      </c>
      <c r="C10" s="25" t="n">
        <v>63000</v>
      </c>
      <c r="D10" s="25" t="n">
        <v>135000</v>
      </c>
      <c r="E10" s="25" t="n">
        <v>250000</v>
      </c>
      <c r="F10" s="3" t="s">
        <v>174</v>
      </c>
    </row>
    <row r="11" customFormat="false" ht="15" hidden="false" customHeight="false" outlineLevel="0" collapsed="false">
      <c r="A11" s="3" t="s">
        <v>172</v>
      </c>
      <c r="B11" s="3" t="s">
        <v>175</v>
      </c>
      <c r="C11" s="25" t="n">
        <v>63000</v>
      </c>
      <c r="D11" s="25" t="n">
        <v>135000</v>
      </c>
      <c r="E11" s="25" t="n">
        <v>250000</v>
      </c>
      <c r="F11" s="3" t="s">
        <v>176</v>
      </c>
    </row>
    <row r="12" customFormat="false" ht="15" hidden="false" customHeight="false" outlineLevel="0" collapsed="false">
      <c r="A12" s="3" t="s">
        <v>172</v>
      </c>
      <c r="B12" s="3" t="s">
        <v>177</v>
      </c>
      <c r="C12" s="25" t="n">
        <v>40000</v>
      </c>
      <c r="D12" s="25" t="n">
        <v>60000</v>
      </c>
      <c r="E12" s="25" t="n">
        <v>90000</v>
      </c>
      <c r="F12" s="3" t="s">
        <v>113</v>
      </c>
    </row>
    <row r="13" customFormat="false" ht="15" hidden="false" customHeight="false" outlineLevel="0" collapsed="false">
      <c r="A13" s="3" t="s">
        <v>178</v>
      </c>
      <c r="B13" s="3" t="s">
        <v>179</v>
      </c>
      <c r="C13" s="25" t="n">
        <v>120000</v>
      </c>
      <c r="D13" s="25" t="n">
        <v>175000</v>
      </c>
      <c r="E13" s="25" t="n">
        <v>250000</v>
      </c>
      <c r="F13" s="3" t="s">
        <v>113</v>
      </c>
    </row>
    <row r="14" customFormat="false" ht="15" hidden="false" customHeight="false" outlineLevel="0" collapsed="false">
      <c r="A14" s="3" t="s">
        <v>178</v>
      </c>
      <c r="B14" s="3" t="s">
        <v>180</v>
      </c>
      <c r="C14" s="25" t="n">
        <v>25000</v>
      </c>
      <c r="D14" s="25" t="n">
        <v>35000</v>
      </c>
      <c r="E14" s="25" t="n">
        <v>50000</v>
      </c>
      <c r="F14" s="3" t="s">
        <v>113</v>
      </c>
    </row>
    <row r="15" customFormat="false" ht="15" hidden="false" customHeight="false" outlineLevel="0" collapsed="false">
      <c r="A15" s="3" t="s">
        <v>178</v>
      </c>
      <c r="B15" s="3" t="s">
        <v>181</v>
      </c>
      <c r="C15" s="25" t="n">
        <v>20000</v>
      </c>
      <c r="D15" s="25" t="n">
        <v>30000</v>
      </c>
      <c r="E15" s="25" t="n">
        <v>45000</v>
      </c>
      <c r="F15" s="3" t="s">
        <v>113</v>
      </c>
    </row>
    <row r="16" customFormat="false" ht="15" hidden="false" customHeight="false" outlineLevel="0" collapsed="false">
      <c r="A16" s="3" t="s">
        <v>182</v>
      </c>
      <c r="B16" s="3" t="s">
        <v>183</v>
      </c>
      <c r="C16" s="25" t="n">
        <v>11200</v>
      </c>
      <c r="D16" s="25" t="n">
        <v>62000</v>
      </c>
      <c r="E16" s="25" t="n">
        <v>102000</v>
      </c>
      <c r="F16" s="3" t="s">
        <v>184</v>
      </c>
    </row>
    <row r="17" customFormat="false" ht="15" hidden="false" customHeight="false" outlineLevel="0" collapsed="false">
      <c r="A17" s="3" t="s">
        <v>182</v>
      </c>
      <c r="B17" s="3" t="s">
        <v>185</v>
      </c>
      <c r="C17" s="25" t="n">
        <v>15000</v>
      </c>
      <c r="D17" s="25" t="n">
        <v>25000</v>
      </c>
      <c r="E17" s="25" t="n">
        <v>40000</v>
      </c>
      <c r="F17" s="3" t="s">
        <v>113</v>
      </c>
    </row>
    <row r="18" customFormat="false" ht="15" hidden="false" customHeight="false" outlineLevel="0" collapsed="false">
      <c r="A18" s="3" t="s">
        <v>186</v>
      </c>
      <c r="B18" s="3" t="s">
        <v>187</v>
      </c>
      <c r="C18" s="25" t="n">
        <v>40000</v>
      </c>
      <c r="D18" s="25" t="n">
        <v>60000</v>
      </c>
      <c r="E18" s="25" t="n">
        <v>90000</v>
      </c>
      <c r="F18" s="3" t="s">
        <v>113</v>
      </c>
    </row>
    <row r="19" customFormat="false" ht="15" hidden="false" customHeight="false" outlineLevel="0" collapsed="false">
      <c r="A19" s="3" t="s">
        <v>186</v>
      </c>
      <c r="B19" s="3" t="s">
        <v>188</v>
      </c>
      <c r="C19" s="25" t="n">
        <v>15000</v>
      </c>
      <c r="D19" s="25" t="n">
        <v>25000</v>
      </c>
      <c r="E19" s="25" t="n">
        <v>40000</v>
      </c>
      <c r="F19" s="3" t="s">
        <v>113</v>
      </c>
    </row>
    <row r="20" customFormat="false" ht="15" hidden="false" customHeight="false" outlineLevel="0" collapsed="false">
      <c r="A20" s="3" t="s">
        <v>189</v>
      </c>
      <c r="B20" s="3" t="s">
        <v>190</v>
      </c>
      <c r="C20" s="25" t="n">
        <v>15000</v>
      </c>
      <c r="D20" s="25" t="n">
        <v>25000</v>
      </c>
      <c r="E20" s="25" t="n">
        <v>35000</v>
      </c>
      <c r="F20" s="3" t="s">
        <v>113</v>
      </c>
    </row>
    <row r="21" customFormat="false" ht="15" hidden="false" customHeight="false" outlineLevel="0" collapsed="false">
      <c r="A21" s="3" t="s">
        <v>191</v>
      </c>
      <c r="B21" s="3" t="s">
        <v>192</v>
      </c>
      <c r="C21" s="25" t="n">
        <v>40000</v>
      </c>
      <c r="D21" s="25" t="n">
        <v>60000</v>
      </c>
      <c r="E21" s="25" t="n">
        <v>80000</v>
      </c>
      <c r="F21" s="3" t="s">
        <v>113</v>
      </c>
    </row>
    <row r="22" customFormat="false" ht="15" hidden="false" customHeight="false" outlineLevel="0" collapsed="false">
      <c r="B22" s="2" t="s">
        <v>193</v>
      </c>
      <c r="C22" s="12" t="n">
        <f aca="false">SUMIFS(C4:C21,$A$4:$A$21,"Acquisition")</f>
        <v>1840000</v>
      </c>
      <c r="D22" s="12" t="n">
        <f aca="false">SUMIFS(D4:D21,$A$4:$A$21,"Acquisition")</f>
        <v>1851000</v>
      </c>
      <c r="E22" s="12" t="n">
        <f aca="false">SUMIFS(E4:E21,$A$4:$A$21,"Acquisition")</f>
        <v>2269000</v>
      </c>
    </row>
    <row r="23" customFormat="false" ht="15" hidden="false" customHeight="false" outlineLevel="0" collapsed="false">
      <c r="B23" s="2" t="s">
        <v>194</v>
      </c>
      <c r="C23" s="12" t="n">
        <f aca="false">SUM(C4:C21)-C22</f>
        <v>707200</v>
      </c>
      <c r="D23" s="12" t="n">
        <f aca="false">SUM(D4:D21)-D22</f>
        <v>1212000</v>
      </c>
      <c r="E23" s="12" t="n">
        <f aca="false">SUM(E4:E21)-E22</f>
        <v>1982000</v>
      </c>
    </row>
    <row r="24" customFormat="false" ht="15" hidden="false" customHeight="false" outlineLevel="0" collapsed="false">
      <c r="B24" s="3" t="s">
        <v>195</v>
      </c>
      <c r="C24" s="8" t="n">
        <f aca="false">C23*Assumptions!$B$31</f>
        <v>106080</v>
      </c>
      <c r="D24" s="8" t="n">
        <f aca="false">D23*Assumptions!$B$31</f>
        <v>181800</v>
      </c>
      <c r="E24" s="8" t="n">
        <f aca="false">E23*Assumptions!$B$31</f>
        <v>297300</v>
      </c>
    </row>
    <row r="25" customFormat="false" ht="15" hidden="false" customHeight="false" outlineLevel="0" collapsed="false">
      <c r="B25" s="3" t="s">
        <v>121</v>
      </c>
      <c r="C25" s="11" t="n">
        <f aca="false">Assumptions!$B$32</f>
        <v>100000</v>
      </c>
      <c r="D25" s="11" t="n">
        <f aca="false">Assumptions!$B$32</f>
        <v>100000</v>
      </c>
      <c r="E25" s="11" t="n">
        <f aca="false">Assumptions!$B$32</f>
        <v>100000</v>
      </c>
    </row>
    <row r="26" customFormat="false" ht="15" hidden="false" customHeight="false" outlineLevel="0" collapsed="false">
      <c r="B26" s="2" t="s">
        <v>196</v>
      </c>
      <c r="C26" s="9" t="n">
        <f aca="false">C22+C23+C24+C25</f>
        <v>2753280</v>
      </c>
      <c r="D26" s="9" t="n">
        <f aca="false">D22+D23+D24+D25</f>
        <v>3344800</v>
      </c>
      <c r="E26" s="9" t="n">
        <f aca="false">E22+E23+E24+E25</f>
        <v>4648300</v>
      </c>
    </row>
    <row r="28" customFormat="false" ht="15" hidden="false" customHeight="false" outlineLevel="0" collapsed="false">
      <c r="A28" s="3" t="s">
        <v>197</v>
      </c>
    </row>
    <row r="29" customFormat="false" ht="15" hidden="false" customHeight="false" outlineLevel="0" collapsed="false">
      <c r="A29" s="3" t="s">
        <v>198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199</v>
      </c>
    </row>
    <row r="3" customFormat="false" ht="15" hidden="false" customHeight="false" outlineLevel="0" collapsed="false">
      <c r="A3" s="4" t="s">
        <v>153</v>
      </c>
      <c r="B3" s="5" t="s">
        <v>52</v>
      </c>
      <c r="C3" s="5" t="s">
        <v>156</v>
      </c>
    </row>
    <row r="4" customFormat="false" ht="15" hidden="false" customHeight="false" outlineLevel="0" collapsed="false">
      <c r="A4" s="3" t="s">
        <v>200</v>
      </c>
      <c r="B4" s="11" t="n">
        <f aca="false">Assumptions!$B$33*(Assumptions!$B$34+Assumptions!$B$35)/100</f>
        <v>18293.4</v>
      </c>
      <c r="C4" s="3" t="s">
        <v>201</v>
      </c>
    </row>
    <row r="5" customFormat="false" ht="15" hidden="false" customHeight="false" outlineLevel="0" collapsed="false">
      <c r="A5" s="3" t="s">
        <v>202</v>
      </c>
      <c r="B5" s="25" t="n">
        <v>40000</v>
      </c>
      <c r="C5" s="3" t="s">
        <v>203</v>
      </c>
    </row>
    <row r="6" customFormat="false" ht="15" hidden="false" customHeight="false" outlineLevel="0" collapsed="false">
      <c r="A6" s="3" t="s">
        <v>204</v>
      </c>
      <c r="B6" s="25" t="n">
        <v>36000</v>
      </c>
      <c r="C6" s="3" t="s">
        <v>113</v>
      </c>
    </row>
    <row r="7" customFormat="false" ht="15" hidden="false" customHeight="false" outlineLevel="0" collapsed="false">
      <c r="A7" s="3" t="s">
        <v>205</v>
      </c>
      <c r="B7" s="25" t="n">
        <v>20000</v>
      </c>
      <c r="C7" s="3" t="s">
        <v>206</v>
      </c>
    </row>
    <row r="8" customFormat="false" ht="15" hidden="false" customHeight="false" outlineLevel="0" collapsed="false">
      <c r="A8" s="3" t="s">
        <v>207</v>
      </c>
      <c r="B8" s="25" t="n">
        <v>15000</v>
      </c>
      <c r="C8" s="3" t="s">
        <v>113</v>
      </c>
    </row>
    <row r="9" customFormat="false" ht="15" hidden="false" customHeight="false" outlineLevel="0" collapsed="false">
      <c r="A9" s="3" t="s">
        <v>208</v>
      </c>
      <c r="B9" s="25" t="n">
        <v>7200</v>
      </c>
      <c r="C9" s="3" t="s">
        <v>113</v>
      </c>
    </row>
    <row r="10" customFormat="false" ht="15" hidden="false" customHeight="false" outlineLevel="0" collapsed="false">
      <c r="A10" s="3" t="s">
        <v>209</v>
      </c>
      <c r="B10" s="25" t="n">
        <v>3000</v>
      </c>
      <c r="C10" s="3" t="s">
        <v>210</v>
      </c>
    </row>
    <row r="11" customFormat="false" ht="15" hidden="false" customHeight="false" outlineLevel="0" collapsed="false">
      <c r="A11" s="3" t="s">
        <v>211</v>
      </c>
      <c r="B11" s="25" t="n">
        <v>3500</v>
      </c>
      <c r="C11" s="3" t="s">
        <v>113</v>
      </c>
    </row>
    <row r="12" customFormat="false" ht="15" hidden="false" customHeight="false" outlineLevel="0" collapsed="false">
      <c r="A12" s="3" t="s">
        <v>212</v>
      </c>
      <c r="B12" s="25" t="n">
        <v>9000</v>
      </c>
      <c r="C12" s="3" t="s">
        <v>113</v>
      </c>
    </row>
    <row r="13" customFormat="false" ht="15" hidden="false" customHeight="false" outlineLevel="0" collapsed="false">
      <c r="A13" s="3" t="s">
        <v>213</v>
      </c>
      <c r="B13" s="25" t="n">
        <v>3600</v>
      </c>
      <c r="C13" s="3" t="s">
        <v>113</v>
      </c>
    </row>
    <row r="14" customFormat="false" ht="15" hidden="false" customHeight="false" outlineLevel="0" collapsed="false">
      <c r="A14" s="3" t="s">
        <v>214</v>
      </c>
      <c r="B14" s="25" t="n">
        <v>15000</v>
      </c>
      <c r="C14" s="3" t="s">
        <v>113</v>
      </c>
    </row>
    <row r="15" customFormat="false" ht="15" hidden="false" customHeight="false" outlineLevel="0" collapsed="false">
      <c r="A15" s="3" t="s">
        <v>215</v>
      </c>
      <c r="B15" s="25" t="n">
        <v>8000</v>
      </c>
      <c r="C15" s="3" t="s">
        <v>113</v>
      </c>
    </row>
    <row r="16" customFormat="false" ht="15" hidden="false" customHeight="false" outlineLevel="0" collapsed="false">
      <c r="A16" s="2" t="s">
        <v>216</v>
      </c>
      <c r="B16" s="9" t="n">
        <f aca="false">SUM(B4:B15)</f>
        <v>178593.4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2"/>
    <col collapsed="false" customWidth="true" hidden="false" outlineLevel="0" max="3" min="3" style="0" width="10"/>
    <col collapsed="false" customWidth="true" hidden="false" outlineLevel="0" max="4" min="4" style="0" width="16"/>
    <col collapsed="false" customWidth="true" hidden="false" outlineLevel="0" max="5" min="5" style="0" width="58"/>
  </cols>
  <sheetData>
    <row r="1" customFormat="false" ht="17.35" hidden="false" customHeight="false" outlineLevel="0" collapsed="false">
      <c r="A1" s="1" t="s">
        <v>217</v>
      </c>
    </row>
    <row r="3" customFormat="false" ht="15" hidden="false" customHeight="false" outlineLevel="0" collapsed="false">
      <c r="A3" s="4" t="s">
        <v>218</v>
      </c>
      <c r="B3" s="5" t="s">
        <v>219</v>
      </c>
      <c r="C3" s="5"/>
      <c r="D3" s="5"/>
      <c r="E3" s="5" t="s">
        <v>220</v>
      </c>
    </row>
    <row r="4" customFormat="false" ht="15" hidden="false" customHeight="false" outlineLevel="0" collapsed="false">
      <c r="A4" s="3" t="s">
        <v>221</v>
      </c>
      <c r="B4" s="25" t="n">
        <v>70000</v>
      </c>
      <c r="E4" s="3" t="s">
        <v>222</v>
      </c>
    </row>
    <row r="5" customFormat="false" ht="15" hidden="false" customHeight="false" outlineLevel="0" collapsed="false">
      <c r="A5" s="3" t="s">
        <v>223</v>
      </c>
      <c r="B5" s="25" t="n">
        <v>50000</v>
      </c>
      <c r="E5" s="3" t="s">
        <v>224</v>
      </c>
    </row>
    <row r="6" customFormat="false" ht="15" hidden="false" customHeight="false" outlineLevel="0" collapsed="false">
      <c r="A6" s="3" t="s">
        <v>225</v>
      </c>
      <c r="B6" s="25" t="n">
        <v>7000</v>
      </c>
      <c r="E6" s="3" t="s">
        <v>226</v>
      </c>
    </row>
    <row r="7" customFormat="false" ht="15" hidden="false" customHeight="false" outlineLevel="0" collapsed="false">
      <c r="A7" s="2" t="s">
        <v>227</v>
      </c>
      <c r="B7" s="9" t="n">
        <f aca="false">SUM(B4:B6)</f>
        <v>127000</v>
      </c>
    </row>
    <row r="9" customFormat="false" ht="15" hidden="false" customHeight="false" outlineLevel="0" collapsed="false">
      <c r="A9" s="4" t="s">
        <v>228</v>
      </c>
      <c r="B9" s="5" t="s">
        <v>229</v>
      </c>
      <c r="C9" s="5" t="s">
        <v>230</v>
      </c>
      <c r="D9" s="5" t="s">
        <v>231</v>
      </c>
      <c r="E9" s="5" t="s">
        <v>220</v>
      </c>
    </row>
    <row r="10" customFormat="false" ht="15" hidden="false" customHeight="false" outlineLevel="0" collapsed="false">
      <c r="A10" s="3" t="s">
        <v>232</v>
      </c>
      <c r="B10" s="17" t="n">
        <v>150</v>
      </c>
      <c r="C10" s="30" t="n">
        <v>15</v>
      </c>
      <c r="D10" s="8" t="n">
        <f aca="false">B10*C10*Assumptions!$B$36</f>
        <v>117000</v>
      </c>
      <c r="E10" s="3" t="s">
        <v>233</v>
      </c>
    </row>
    <row r="11" customFormat="false" ht="15" hidden="false" customHeight="false" outlineLevel="0" collapsed="false">
      <c r="A11" s="3" t="s">
        <v>234</v>
      </c>
      <c r="B11" s="17" t="n">
        <v>55</v>
      </c>
      <c r="C11" s="30" t="n">
        <v>14</v>
      </c>
      <c r="D11" s="8" t="n">
        <f aca="false">B11*C11*Assumptions!$B$36</f>
        <v>40040</v>
      </c>
      <c r="E11" s="3" t="s">
        <v>235</v>
      </c>
    </row>
    <row r="12" customFormat="false" ht="15" hidden="false" customHeight="false" outlineLevel="0" collapsed="false">
      <c r="A12" s="3" t="s">
        <v>236</v>
      </c>
      <c r="B12" s="17" t="n">
        <v>110</v>
      </c>
      <c r="C12" s="30" t="n">
        <v>7</v>
      </c>
      <c r="D12" s="8" t="n">
        <f aca="false">B12*C12*Assumptions!$B$36</f>
        <v>40040</v>
      </c>
      <c r="E12" s="3" t="s">
        <v>237</v>
      </c>
    </row>
    <row r="13" customFormat="false" ht="15" hidden="false" customHeight="false" outlineLevel="0" collapsed="false">
      <c r="A13" s="3" t="s">
        <v>238</v>
      </c>
      <c r="B13" s="17" t="n">
        <v>50</v>
      </c>
      <c r="C13" s="30" t="n">
        <v>15</v>
      </c>
      <c r="D13" s="8" t="n">
        <f aca="false">B13*C13*Assumptions!$B$36</f>
        <v>39000</v>
      </c>
      <c r="E13" s="3" t="s">
        <v>239</v>
      </c>
    </row>
    <row r="14" customFormat="false" ht="15" hidden="false" customHeight="false" outlineLevel="0" collapsed="false">
      <c r="A14" s="3" t="s">
        <v>240</v>
      </c>
      <c r="B14" s="17" t="n">
        <v>25</v>
      </c>
      <c r="C14" s="30" t="n">
        <v>18</v>
      </c>
      <c r="D14" s="8" t="n">
        <f aca="false">B14*C14*Assumptions!$B$36</f>
        <v>23400</v>
      </c>
      <c r="E14" s="3" t="s">
        <v>241</v>
      </c>
    </row>
    <row r="15" customFormat="false" ht="15" hidden="false" customHeight="false" outlineLevel="0" collapsed="false">
      <c r="A15" s="3" t="s">
        <v>242</v>
      </c>
      <c r="B15" s="17" t="n">
        <v>24</v>
      </c>
      <c r="C15" s="30" t="n">
        <v>22</v>
      </c>
      <c r="D15" s="8" t="n">
        <f aca="false">B15*C15*Assumptions!$B$36</f>
        <v>27456</v>
      </c>
      <c r="E15" s="3" t="s">
        <v>243</v>
      </c>
    </row>
    <row r="16" customFormat="false" ht="15" hidden="false" customHeight="false" outlineLevel="0" collapsed="false">
      <c r="A16" s="2" t="s">
        <v>244</v>
      </c>
      <c r="B16" s="31" t="n">
        <f aca="false">SUM(B10:B15)</f>
        <v>414</v>
      </c>
      <c r="D16" s="9" t="n">
        <f aca="false">SUM(D10:D15)</f>
        <v>286936</v>
      </c>
    </row>
    <row r="18" customFormat="false" ht="15" hidden="false" customHeight="false" outlineLevel="0" collapsed="false">
      <c r="A18" s="2" t="s">
        <v>245</v>
      </c>
      <c r="D18" s="12" t="n">
        <f aca="false">Labor!$D$16*(1+Assumptions!$B$37)+Labor!$B$7*(1+Assumptions!$B$38)</f>
        <v>470569.6</v>
      </c>
    </row>
    <row r="19" customFormat="false" ht="15" hidden="false" customHeight="false" outlineLevel="0" collapsed="false">
      <c r="A19" s="3" t="s">
        <v>246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247</v>
      </c>
    </row>
    <row r="3" customFormat="false" ht="15" hidden="false" customHeight="false" outlineLevel="0" collapsed="false">
      <c r="A3" s="3" t="s">
        <v>248</v>
      </c>
      <c r="B3" s="11" t="n">
        <f aca="false">Capex!$D$26</f>
        <v>3344800</v>
      </c>
    </row>
    <row r="4" customFormat="false" ht="15" hidden="false" customHeight="false" outlineLevel="0" collapsed="false">
      <c r="A4" s="3" t="s">
        <v>249</v>
      </c>
      <c r="B4" s="15" t="n">
        <f aca="false">Assumptions!$B$39</f>
        <v>0.7</v>
      </c>
    </row>
    <row r="5" customFormat="false" ht="15" hidden="false" customHeight="false" outlineLevel="0" collapsed="false">
      <c r="A5" s="3" t="s">
        <v>250</v>
      </c>
      <c r="B5" s="8" t="n">
        <f aca="false">B3*B4</f>
        <v>2341360</v>
      </c>
    </row>
    <row r="6" customFormat="false" ht="15" hidden="false" customHeight="false" outlineLevel="0" collapsed="false">
      <c r="A6" s="3" t="s">
        <v>251</v>
      </c>
      <c r="B6" s="8" t="n">
        <f aca="false">B3-B5</f>
        <v>1003440</v>
      </c>
    </row>
    <row r="7" customFormat="false" ht="15" hidden="false" customHeight="false" outlineLevel="0" collapsed="false">
      <c r="A7" s="3" t="s">
        <v>140</v>
      </c>
      <c r="B7" s="32" t="n">
        <f aca="false">Assumptions!$B$40</f>
        <v>0.0725</v>
      </c>
    </row>
    <row r="8" customFormat="false" ht="15" hidden="false" customHeight="false" outlineLevel="0" collapsed="false">
      <c r="A8" s="3" t="s">
        <v>252</v>
      </c>
      <c r="B8" s="6" t="n">
        <f aca="false">Assumptions!$B$41</f>
        <v>25</v>
      </c>
    </row>
    <row r="9" customFormat="false" ht="15" hidden="false" customHeight="false" outlineLevel="0" collapsed="false">
      <c r="A9" s="2" t="s">
        <v>253</v>
      </c>
      <c r="B9" s="12" t="n">
        <f aca="false">-PMT(B7/12,B8*12,B5)*12</f>
        <v>203082.129518705</v>
      </c>
    </row>
    <row r="11" customFormat="false" ht="15" hidden="false" customHeight="false" outlineLevel="0" collapsed="false">
      <c r="A11" s="3" t="s">
        <v>254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2026-10-13T17:24:04Z</dcterms:created>
  <dc:creator>openpyxl</dc:creator>
  <dc:description/>
  <dc:language>en-US</dc:language>
  <cp:lastModifiedBy/>
  <dcterms:modified xsi:type="dcterms:W3CDTF">2026-10-13T17:24:04Z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