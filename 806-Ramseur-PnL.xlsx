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&amp;L" sheetId="2" state="visible" r:id="rId4"/>
    <sheet name="Assumptions" sheetId="3" state="visible" r:id="rId5"/>
    <sheet name="Labor" sheetId="4" state="visible" r:id="rId6"/>
    <sheet name="Capex" sheetId="5" state="visible" r:id="rId7"/>
    <sheet name="Opex" sheetId="6" state="visible" r:id="rId8"/>
    <sheet name="Financ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<sst xmlns="http://schemas.openxmlformats.org/spreadsheetml/2006/main" count="320" uniqueCount="231">
  <si>
    <t xml:space="preserve">806 E Ramseur Mini Golf + Bar — P&amp;L model</t>
  </si>
  <si>
    <t xml:space="preserve">How to use</t>
  </si>
  <si>
    <t xml:space="preserve">1. Edit inputs on the Assumptions sheet. Blue text = input. Yellow fill = key lever.</t>
  </si>
  <si>
    <t xml:space="preserve">2. The period table (Assumptions!D8:I15) matches the Revenue Estimates web page. 'Copy period table for Excel' on that page pastes into D8.</t>
  </si>
  <si>
    <t xml:space="preserve">3. Set gross margin per revenue line in Assumptions!B19:B23.</t>
  </si>
  <si>
    <t xml:space="preserve">4. Hourly staff per day and daypart (summer and winter) are entered on the Labor sheet at one hourly wage; players and days come from Assumptions.</t>
  </si>
  <si>
    <t xml:space="preserve">5. Black text = formula, green = link from another sheet. Don't type over black cells.</t>
  </si>
  <si>
    <t xml:space="preserve">Schedule</t>
  </si>
  <si>
    <t xml:space="preserve">Closed Mon-Tue. Weekdays = Wed-Fri, weekends = Sat-Sun. Afternoon 12-5 pm (5 hrs), evening 5-11 pm (6 hrs).</t>
  </si>
  <si>
    <t xml:space="preserve">Summer = Apr 1 - Nov 30, winter = Dec 1 - Mar 31. Default day counts use calendar 2027; holidays not removed.</t>
  </si>
  <si>
    <t xml:space="preserve">Sheets</t>
  </si>
  <si>
    <t xml:space="preserve">P&amp;L — stabilized year split summer / winter / full year, plus a 5-year projection with ramp-up.</t>
  </si>
  <si>
    <t xml:space="preserve">Assumptions — schedule, players and spend by period, gross margins, cost and finance inputs.</t>
  </si>
  <si>
    <t xml:space="preserve">Labor — hourly staff by day and daypart vs. players, salaried management, annual total. Capex — one-time costs. Opex — fixed annual costs. Financing — loan and equity.</t>
  </si>
  <si>
    <t xml:space="preserve">Excludes depreciation, interest/principal split and income taxes. Planning estimates, not quotes.</t>
  </si>
  <si>
    <t xml:space="preserve">P&amp;L — stabilized year ($)</t>
  </si>
  <si>
    <t xml:space="preserve">Summer = Apr-Nov (8 months), winter = Dec-Mar (4 months). Fixed costs, salaries, events and debt split by months; hourly labor by open hours.</t>
  </si>
  <si>
    <t xml:space="preserve">Line</t>
  </si>
  <si>
    <t xml:space="preserve">Summer</t>
  </si>
  <si>
    <t xml:space="preserve">Winter</t>
  </si>
  <si>
    <t xml:space="preserve">Full year</t>
  </si>
  <si>
    <t xml:space="preserve">Rounds played</t>
  </si>
  <si>
    <t xml:space="preserve">Open hours</t>
  </si>
  <si>
    <t xml:space="preserve">Revenue</t>
  </si>
  <si>
    <t xml:space="preserve">Golf</t>
  </si>
  <si>
    <t xml:space="preserve">Food</t>
  </si>
  <si>
    <t xml:space="preserve">Ice cream</t>
  </si>
  <si>
    <t xml:space="preserve">Bar</t>
  </si>
  <si>
    <t xml:space="preserve">Private events</t>
  </si>
  <si>
    <t xml:space="preserve">Total revenue</t>
  </si>
  <si>
    <t xml:space="preserve">Gross profit by line</t>
  </si>
  <si>
    <t xml:space="preserve">Golf gross profit</t>
  </si>
  <si>
    <t xml:space="preserve">Food gross profit</t>
  </si>
  <si>
    <t xml:space="preserve">Ice cream gross profit</t>
  </si>
  <si>
    <t xml:space="preserve">Bar gross profit</t>
  </si>
  <si>
    <t xml:space="preserve">Private events gross profit</t>
  </si>
  <si>
    <t xml:space="preserve">Total gross profit</t>
  </si>
  <si>
    <t xml:space="preserve">Gross margin</t>
  </si>
  <si>
    <t xml:space="preserve">Operating costs</t>
  </si>
  <si>
    <t xml:space="preserve">Hourly labor</t>
  </si>
  <si>
    <t xml:space="preserve">Salaried labor</t>
  </si>
  <si>
    <t xml:space="preserve">Fixed opex</t>
  </si>
  <si>
    <t xml:space="preserve">Card processing</t>
  </si>
  <si>
    <t xml:space="preserve">Marketing</t>
  </si>
  <si>
    <t xml:space="preserve">Total operating costs</t>
  </si>
  <si>
    <t xml:space="preserve">EBITDA</t>
  </si>
  <si>
    <t xml:space="preserve">EBITDA margin</t>
  </si>
  <si>
    <t xml:space="preserve">Debt service</t>
  </si>
  <si>
    <t xml:space="preserve">Cash flow after debt</t>
  </si>
  <si>
    <t xml:space="preserve">Full-year checks</t>
  </si>
  <si>
    <t xml:space="preserve">Labor % of revenue</t>
  </si>
  <si>
    <t xml:space="preserve">Revenue per round</t>
  </si>
  <si>
    <t xml:space="preserve">Debt service coverage (EBITDA / debt service)</t>
  </si>
  <si>
    <t xml:space="preserve">Cash-on-cash return on equity</t>
  </si>
  <si>
    <t xml:space="preserve">5-year projection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</si>
  <si>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</si>
  <si>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</si>
  <si>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</si>
  <si>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</si>
  <si>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</si>
  <si>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Volume vs. stabilized</t>
  </si>
  <si>
    <t xml:space="preserve">Gross profit</t>
  </si>
  <si>
    <t xml:space="preserve">Labor</t>
  </si>
  <si>
    <t xml:space="preserve">Card + marketing</t>
  </si>
  <si>
    <t xml:space="preserve">Cumulative cash flow</t>
  </si>
  <si>
    <t xml:space="preserve">Equity left to recover</t>
  </si>
  <si>
    <t xml:space="preserve">Excludes depreciation and income taxes. Labor held at full schedule from year 1.</t>
  </si>
  <si>
    <t xml:space="preserve">Assumptions</t>
  </si>
  <si>
    <t xml:space="preserve">Golf price per round</t>
  </si>
  <si>
    <t xml:space="preserve">One price for all periods</t>
  </si>
  <si>
    <t xml:space="preserve">Private events per year</t>
  </si>
  <si>
    <t xml:space="preserve">Birthdays, buyouts</t>
  </si>
  <si>
    <t xml:space="preserve">Average event package</t>
  </si>
  <si>
    <t xml:space="preserve">Revenue split 8/12 summer, 4/12 winter on P&amp;L</t>
  </si>
  <si>
    <t xml:space="preserve">Season</t>
  </si>
  <si>
    <t xml:space="preserve">Day type</t>
  </si>
  <si>
    <t xml:space="preserve">Daypart</t>
  </si>
  <si>
    <t xml:space="preserve">Days / yr</t>
  </si>
  <si>
    <t xml:space="preserve">Hours / daypart</t>
  </si>
  <si>
    <t xml:space="preserve">Players / day</t>
  </si>
  <si>
    <t xml:space="preserve">Food $ / player</t>
  </si>
  <si>
    <t xml:space="preserve">Ice cream $ / player</t>
  </si>
  <si>
    <t xml:space="preserve">Bar $ / player</t>
  </si>
  <si>
    <t xml:space="preserve">Rounds / yr</t>
  </si>
  <si>
    <t xml:space="preserve">Revenue / yr</t>
  </si>
  <si>
    <t xml:space="preserve">Weekday (Wed-Fri)</t>
  </si>
  <si>
    <t xml:space="preserve">Afternoon 12-5 pm</t>
  </si>
  <si>
    <t xml:space="preserve">Evening 5-11 pm</t>
  </si>
  <si>
    <t xml:space="preserve">Weekend (Sat-Sun)</t>
  </si>
  <si>
    <t xml:space="preserve">Total</t>
  </si>
  <si>
    <t xml:space="preserve">Day counts: calendar 2027, closed Mon-Tue. Players are per daypart per day.</t>
  </si>
  <si>
    <t xml:space="preserve">Revenue line</t>
  </si>
  <si>
    <t xml:space="preserve">Note</t>
  </si>
  <si>
    <t xml:space="preserve">Course upkeep sits in fixed costs; Puttshack cites ~95% on mini golf</t>
  </si>
  <si>
    <t xml:space="preserve">Food trucks keep their sales; 15% = our commission. Use ~65% if we run food ourselves</t>
  </si>
  <si>
    <t xml:space="preserve">~30% product cost</t>
  </si>
  <si>
    <t xml:space="preserve">~24% pour cost</t>
  </si>
  <si>
    <t xml:space="preserve">Food + drink in packages</t>
  </si>
  <si>
    <t xml:space="preserve">Cost and finance input</t>
  </si>
  <si>
    <t xml:space="preserve">Value</t>
  </si>
  <si>
    <t xml:space="preserve">Unit / note</t>
  </si>
  <si>
    <t xml:space="preserve">% of non-food sales (trucks process their own)</t>
  </si>
  <si>
    <t xml:space="preserve">% of total sales</t>
  </si>
  <si>
    <t xml:space="preserve">Capex contingency</t>
  </si>
  <si>
    <t xml:space="preserve">% of non-acquisition capex</t>
  </si>
  <si>
    <t xml:space="preserve">Assessed value for property tax</t>
  </si>
  <si>
    <t xml:space="preserve">Assumes assessed = purchase price</t>
  </si>
  <si>
    <t xml:space="preserve">Durham County tax rate</t>
  </si>
  <si>
    <t xml:space="preserve">$ per $100; FY2026-27 adopted (dconc.gov, June 2026)</t>
  </si>
  <si>
    <t xml:space="preserve">City of Durham tax rate</t>
  </si>
  <si>
    <t xml:space="preserve">$ per $100; FY2025-26 proposed (durhamnc.gov); verify adopted</t>
  </si>
  <si>
    <t xml:space="preserve">Weeks per year</t>
  </si>
  <si>
    <t xml:space="preserve">For maintenance hours</t>
  </si>
  <si>
    <t xml:space="preserve">Hourly payroll burden</t>
  </si>
  <si>
    <t xml:space="preserve">FICA + unemployment</t>
  </si>
  <si>
    <t xml:space="preserve">Salaried burden incl. benefits</t>
  </si>
  <si>
    <t xml:space="preserve">FICA + unemployment + health</t>
  </si>
  <si>
    <t xml:space="preserve">Debt as % of total project</t>
  </si>
  <si>
    <t xml:space="preserve">SBA 504/7(a) can go higher</t>
  </si>
  <si>
    <t xml:space="preserve">Interest rate</t>
  </si>
  <si>
    <t xml:space="preserve">per year</t>
  </si>
  <si>
    <t xml:space="preserve">Amortization</t>
  </si>
  <si>
    <t xml:space="preserve">years</t>
  </si>
  <si>
    <t xml:space="preserve">Cost inflation (years 2-5)</t>
  </si>
  <si>
    <t xml:space="preserve">Year 1 volume vs. stabilized</t>
  </si>
  <si>
    <t xml:space="preserve">Ramp-up to maturity</t>
  </si>
  <si>
    <t xml:space="preserve">Year 2 volume vs. stabilized</t>
  </si>
  <si>
    <t xml:space="preserve">Year 3 volume vs. stabilized</t>
  </si>
  <si>
    <t xml:space="preserve">Year 4 volume vs. stabilized</t>
  </si>
  <si>
    <t xml:space="preserve">Year 5 volume vs. stabilized</t>
  </si>
  <si>
    <t xml:space="preserve">GM or Assistant GM is always on premises (salaried, below). Enter hourly staff per day and daypart in columns G and J. Players come from the Assumptions period table.</t>
  </si>
  <si>
    <t xml:space="preserve">Hourly wage, all hourly staff</t>
  </si>
  <si>
    <t xml:space="preserve">Day</t>
  </si>
  <si>
    <t xml:space="preserve">Hours</t>
  </si>
  <si>
    <t xml:space="preserve">Summer days</t>
  </si>
  <si>
    <t xml:space="preserve">Summer players / daypart</t>
  </si>
  <si>
    <t xml:space="preserve">Summer players / hr</t>
  </si>
  <si>
    <t xml:space="preserve">Summer hourly staff</t>
  </si>
  <si>
    <t xml:space="preserve">Winter days</t>
  </si>
  <si>
    <t xml:space="preserve">Winter players / daypart</t>
  </si>
  <si>
    <t xml:space="preserve">Winter hourly staff</t>
  </si>
  <si>
    <t xml:space="preserve">Summer staff hrs</t>
  </si>
  <si>
    <t xml:space="preserve">Winter staff hrs</t>
  </si>
  <si>
    <t xml:space="preserve">Annual wages</t>
  </si>
  <si>
    <t xml:space="preserve">Monday</t>
  </si>
  <si>
    <t xml:space="preserve">Closed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</si>
  <si>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</si>
  <si>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</si>
  <si>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</si>
  <si>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</si>
  <si>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</si>
  <si>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</si>
  <si>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Annual labor</t>
  </si>
  <si>
    <t xml:space="preserve">Annual</t>
  </si>
  <si>
    <t xml:space="preserve">General Manager</t>
  </si>
  <si>
    <t xml:space="preserve">Recommended band $65k-$75k + up to 10% bonus</t>
  </si>
  <si>
    <t xml:space="preserve">Assistant GM / Bar Manager</t>
  </si>
  <si>
    <t xml:space="preserve">Durham bar manager postings ~$38k-$67k</t>
  </si>
  <si>
    <t xml:space="preserve">GM performance bonus (target)</t>
  </si>
  <si>
    <t xml:space="preserve">Taxes + health benefits on salaries</t>
  </si>
  <si>
    <t xml:space="preserve">Salaried total</t>
  </si>
  <si>
    <t xml:space="preserve">Hourly staff wages</t>
  </si>
  <si>
    <t xml:space="preserve">Hourly payroll taxes</t>
  </si>
  <si>
    <t xml:space="preserve">Hourly staff total</t>
  </si>
  <si>
    <t xml:space="preserve">Annual total labor</t>
  </si>
  <si>
    <t xml:space="preserve">Initial capex</t>
  </si>
  <si>
    <t xml:space="preserve">Enter your amount in column C. Column D keeps the default estimate for reference.</t>
  </si>
  <si>
    <t xml:space="preserve">Category</t>
  </si>
  <si>
    <t xml:space="preserve">Item</t>
  </si>
  <si>
    <t xml:space="preserve">Your amount</t>
  </si>
  <si>
    <t xml:space="preserve">Default estimate</t>
  </si>
  <si>
    <t xml:space="preserve">Basis</t>
  </si>
  <si>
    <t xml:space="preserve">Acquisition</t>
  </si>
  <si>
    <t xml:space="preserve">Purchase price</t>
  </si>
  <si>
    <t xml:space="preserve">Owner target; broker asking $2.2M ($176/SF)</t>
  </si>
  <si>
    <t xml:space="preserve">Closing costs (~2%)</t>
  </si>
  <si>
    <t xml:space="preserve">Legal, title, recording, lender fees</t>
  </si>
  <si>
    <t xml:space="preserve">Due diligence: Phase I ESA, survey, inspection, zoning letter</t>
  </si>
  <si>
    <t xml:space="preserve">Owner estimate</t>
  </si>
  <si>
    <t xml:space="preserve">Soft costs</t>
  </si>
  <si>
    <t xml:space="preserve">Architecture, engineering, permit fees</t>
  </si>
  <si>
    <t xml:space="preserve">Building</t>
  </si>
  <si>
    <t xml:space="preserve">Building upfit: change-of-use code work, sprinklers, egress, restrooms</t>
  </si>
  <si>
    <t xml:space="preserve">Owner estimate; see Issues</t>
  </si>
  <si>
    <t xml:space="preserve">Course</t>
  </si>
  <si>
    <t xml:space="preserve">9 covered holes inside building</t>
  </si>
  <si>
    <t xml:space="preserve">9 outdoor holes in yard</t>
  </si>
  <si>
    <t xml:space="preserve">Outdoor site work, drainage, lighting</t>
  </si>
  <si>
    <t xml:space="preserve">Bar + food</t>
  </si>
  <si>
    <t xml:space="preserve">Bar build-out: bar, coolers, draft, ice machine, POS</t>
  </si>
  <si>
    <t xml:space="preserve">Estimate</t>
  </si>
  <si>
    <t xml:space="preserve">Ice cream stand: dipping cabinet, freezers, window, sink</t>
  </si>
  <si>
    <t xml:space="preserve">Food truck court: power pedestals, pad, grease/trash area</t>
  </si>
  <si>
    <t xml:space="preserve">Security</t>
  </si>
  <si>
    <t xml:space="preserve">Perimeter security: fence, gates, cameras</t>
  </si>
  <si>
    <t xml:space="preserve">Owner estimate; fence options below</t>
  </si>
  <si>
    <t xml:space="preserve">Site</t>
  </si>
  <si>
    <t xml:space="preserve">Signage and branding</t>
  </si>
  <si>
    <t xml:space="preserve">Patio and outdoor equipment</t>
  </si>
  <si>
    <t xml:space="preserve">Equipment</t>
  </si>
  <si>
    <t xml:space="preserve">Putters, balls, bar smallwares</t>
  </si>
  <si>
    <t xml:space="preserve">Opening</t>
  </si>
  <si>
    <t xml:space="preserve">Pre-opening: hiring, training, launch marketing, ABC permits</t>
  </si>
  <si>
    <t xml:space="preserve">Subtotal: acquisition</t>
  </si>
  <si>
    <t xml:space="preserve">Subtotal: build-out and opening</t>
  </si>
  <si>
    <t xml:space="preserve">Contingency (% on Assumptions)</t>
  </si>
  <si>
    <t xml:space="preserve">Total project cost</t>
  </si>
  <si>
    <t xml:space="preserve">Fixed annual operating costs (year 1)</t>
  </si>
  <si>
    <t xml:space="preserve">Property tax</t>
  </si>
  <si>
    <t xml:space="preserve">Assessed value assumed = $1.8M; county 57.92c + city 43.71c per $100</t>
  </si>
  <si>
    <t xml:space="preserve">Insurance: GL, liquor liability, property, umbrella</t>
  </si>
  <si>
    <t xml:space="preserve">Estimate; one NC bar operator reports under $20k for a location</t>
  </si>
  <si>
    <t xml:space="preserve">Utilities (no HVAC; coolers, fans, lighting, water)</t>
  </si>
  <si>
    <t xml:space="preserve">Building repairs + maintenance</t>
  </si>
  <si>
    <t xml:space="preserve">Estimate; 1948 Class C building</t>
  </si>
  <si>
    <t xml:space="preserve">Course + turf maintenance</t>
  </si>
  <si>
    <t xml:space="preserve">POS, booking, software</t>
  </si>
  <si>
    <t xml:space="preserve">ABC permits + local licenses (renewals)</t>
  </si>
  <si>
    <t xml:space="preserve">Mixed beverages $1,000; malt $400; wine $400; local</t>
  </si>
  <si>
    <t xml:space="preserve">Music licensing (ASCAP/BMI/SESAC)</t>
  </si>
  <si>
    <t xml:space="preserve">Trash, recycling, pest control</t>
  </si>
  <si>
    <t xml:space="preserve">Alarm + camera monitoring</t>
  </si>
  <si>
    <t xml:space="preserve">Accounting + legal</t>
  </si>
  <si>
    <t xml:space="preserve">Operating supplies (balls, putters, scorecards)</t>
  </si>
  <si>
    <t xml:space="preserve">Total fixed opex</t>
  </si>
  <si>
    <t xml:space="preserve">Financing</t>
  </si>
  <si>
    <t xml:space="preserve">Debt %</t>
  </si>
  <si>
    <t xml:space="preserve">Loan amount</t>
  </si>
  <si>
    <t xml:space="preserve">Equity required</t>
  </si>
  <si>
    <t xml:space="preserve">Amortization (years)</t>
  </si>
  <si>
    <t xml:space="preserve">Annual debt service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</si>
</sst>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\$#,##0.00;&quot;($&quot;#,##0.00\);\-"/>
    <numFmt numFmtId="169" formatCode="0.00\x"/>
    <numFmt numFmtId="170" formatCode="0.0000"/>
    <numFmt numFmtId="171" formatCode="0.00%"/>
    <numFmt numFmtId="172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B7448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B744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" min="2" style="0" width="15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3" t="s">
        <v>16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19</v>
      </c>
      <c r="D3" s="5" t="s">
        <v>20</v>
      </c>
    </row>
    <row r="4" customFormat="false" ht="15" hidden="false" customHeight="false" outlineLevel="0" collapsed="false">
      <c r="A4" s="3" t="s">
        <v>21</v>
      </c>
      <c r="B4" s="6" t="n">
        <f aca="false">SUM(Assumptions!$J$8:$J$11)</f>
        <v>21960</v>
      </c>
      <c r="C4" s="6" t="n">
        <f aca="false">SUM(Assumptions!$J$12:$J$15)</f>
        <v>4915</v>
      </c>
      <c r="D4" s="7" t="n">
        <f aca="false">B4+C4</f>
        <v>26875</v>
      </c>
    </row>
    <row r="5" customFormat="false" ht="15" hidden="false" customHeight="false" outlineLevel="0" collapsed="false">
      <c r="A5" s="3" t="s">
        <v>22</v>
      </c>
      <c r="B5" s="6" t="n">
        <f aca="false">SUMPRODUCT(Assumptions!$D$8:$D$11,Assumptions!$E$8:$E$11)</f>
        <v>1914</v>
      </c>
      <c r="C5" s="6" t="n">
        <f aca="false">SUMPRODUCT(Assumptions!$D$12:$D$15,Assumptions!$E$12:$E$15)</f>
        <v>957</v>
      </c>
      <c r="D5" s="7" t="n">
        <f aca="false">B5+C5</f>
        <v>2871</v>
      </c>
    </row>
    <row r="7" customFormat="false" ht="15" hidden="false" customHeight="false" outlineLevel="0" collapsed="false">
      <c r="A7" s="2" t="s">
        <v>23</v>
      </c>
    </row>
    <row r="8" customFormat="false" ht="15" hidden="false" customHeight="false" outlineLevel="0" collapsed="false">
      <c r="A8" s="3" t="s">
        <v>24</v>
      </c>
      <c r="B8" s="8" t="n">
        <f aca="false">SUM(Assumptions!$J$8:$J$11)*Assumptions!$B$3</f>
        <v>263520</v>
      </c>
      <c r="C8" s="8" t="n">
        <f aca="false">SUM(Assumptions!$J$12:$J$15)*Assumptions!$B$3</f>
        <v>58980</v>
      </c>
      <c r="D8" s="9" t="n">
        <f aca="false">B8+C8</f>
        <v>322500</v>
      </c>
    </row>
    <row r="9" customFormat="false" ht="15" hidden="false" customHeight="false" outlineLevel="0" collapsed="false">
      <c r="A9" s="3" t="s">
        <v>25</v>
      </c>
      <c r="B9" s="8" t="n">
        <f aca="false">SUMPRODUCT(Assumptions!$J$8:$J$11,Assumptions!$G$8:$G$11)</f>
        <v>158240</v>
      </c>
      <c r="C9" s="8" t="n">
        <f aca="false">SUMPRODUCT(Assumptions!$J$12:$J$15,Assumptions!$G$12:$G$15)</f>
        <v>35690</v>
      </c>
      <c r="D9" s="9" t="n">
        <f aca="false">B9+C9</f>
        <v>193930</v>
      </c>
    </row>
    <row r="10" customFormat="false" ht="15" hidden="false" customHeight="false" outlineLevel="0" collapsed="false">
      <c r="A10" s="3" t="s">
        <v>26</v>
      </c>
      <c r="B10" s="8" t="n">
        <f aca="false">SUMPRODUCT(Assumptions!$J$8:$J$11,Assumptions!$H$8:$H$11)</f>
        <v>48120</v>
      </c>
      <c r="C10" s="8" t="n">
        <f aca="false">SUMPRODUCT(Assumptions!$J$12:$J$15,Assumptions!$H$12:$H$15)</f>
        <v>0</v>
      </c>
      <c r="D10" s="9" t="n">
        <f aca="false">B10+C10</f>
        <v>48120</v>
      </c>
    </row>
    <row r="11" customFormat="false" ht="15" hidden="false" customHeight="false" outlineLevel="0" collapsed="false">
      <c r="A11" s="3" t="s">
        <v>27</v>
      </c>
      <c r="B11" s="8" t="n">
        <f aca="false">SUMPRODUCT(Assumptions!$J$8:$J$11,Assumptions!$I$8:$I$11)</f>
        <v>171200</v>
      </c>
      <c r="C11" s="8" t="n">
        <f aca="false">SUMPRODUCT(Assumptions!$J$12:$J$15,Assumptions!$I$12:$I$15)</f>
        <v>20600</v>
      </c>
      <c r="D11" s="9" t="n">
        <f aca="false">B11+C11</f>
        <v>191800</v>
      </c>
    </row>
    <row r="12" customFormat="false" ht="15" hidden="false" customHeight="false" outlineLevel="0" collapsed="false">
      <c r="A12" s="3" t="s">
        <v>28</v>
      </c>
      <c r="B12" s="8" t="n">
        <f aca="false">Assumptions!$B$4*Assumptions!$B$5*8/12</f>
        <v>60000</v>
      </c>
      <c r="C12" s="8" t="n">
        <f aca="false">Assumptions!$B$4*Assumptions!$B$5*4/12</f>
        <v>30000</v>
      </c>
      <c r="D12" s="9" t="n">
        <f aca="false">B12+C12</f>
        <v>90000</v>
      </c>
    </row>
    <row r="13" customFormat="false" ht="15" hidden="false" customHeight="false" outlineLevel="0" collapsed="false">
      <c r="A13" s="2" t="s">
        <v>29</v>
      </c>
      <c r="B13" s="10" t="n">
        <f aca="false">SUM(B8:B12)</f>
        <v>701080</v>
      </c>
      <c r="C13" s="10" t="n">
        <f aca="false">SUM(C8:C12)</f>
        <v>145270</v>
      </c>
      <c r="D13" s="10" t="n">
        <f aca="false">B13+C13</f>
        <v>846350</v>
      </c>
    </row>
    <row r="15" customFormat="false" ht="15" hidden="false" customHeight="false" outlineLevel="0" collapsed="false">
      <c r="A15" s="2" t="s">
        <v>30</v>
      </c>
    </row>
    <row r="16" customFormat="false" ht="15" hidden="false" customHeight="false" outlineLevel="0" collapsed="false">
      <c r="A16" s="3" t="s">
        <v>31</v>
      </c>
      <c r="B16" s="9" t="n">
        <f aca="false">B8*Assumptions!$B$19</f>
        <v>250344</v>
      </c>
      <c r="C16" s="9" t="n">
        <f aca="false">C8*Assumptions!$B$19</f>
        <v>56031</v>
      </c>
      <c r="D16" s="9" t="n">
        <f aca="false">B16+C16</f>
        <v>306375</v>
      </c>
    </row>
    <row r="17" customFormat="false" ht="15" hidden="false" customHeight="false" outlineLevel="0" collapsed="false">
      <c r="A17" s="3" t="s">
        <v>32</v>
      </c>
      <c r="B17" s="9" t="n">
        <f aca="false">B9*Assumptions!$B$20</f>
        <v>23736</v>
      </c>
      <c r="C17" s="9" t="n">
        <f aca="false">C9*Assumptions!$B$20</f>
        <v>5353.5</v>
      </c>
      <c r="D17" s="9" t="n">
        <f aca="false">B17+C17</f>
        <v>29089.5</v>
      </c>
    </row>
    <row r="18" customFormat="false" ht="15" hidden="false" customHeight="false" outlineLevel="0" collapsed="false">
      <c r="A18" s="3" t="s">
        <v>33</v>
      </c>
      <c r="B18" s="9" t="n">
        <f aca="false">B10*Assumptions!$B$21</f>
        <v>33684</v>
      </c>
      <c r="C18" s="9" t="n">
        <f aca="false">C10*Assumptions!$B$21</f>
        <v>0</v>
      </c>
      <c r="D18" s="9" t="n">
        <f aca="false">B18+C18</f>
        <v>33684</v>
      </c>
    </row>
    <row r="19" customFormat="false" ht="15" hidden="false" customHeight="false" outlineLevel="0" collapsed="false">
      <c r="A19" s="3" t="s">
        <v>34</v>
      </c>
      <c r="B19" s="9" t="n">
        <f aca="false">B11*Assumptions!$B$22</f>
        <v>130112</v>
      </c>
      <c r="C19" s="9" t="n">
        <f aca="false">C11*Assumptions!$B$22</f>
        <v>15656</v>
      </c>
      <c r="D19" s="9" t="n">
        <f aca="false">B19+C19</f>
        <v>145768</v>
      </c>
    </row>
    <row r="20" customFormat="false" ht="15" hidden="false" customHeight="false" outlineLevel="0" collapsed="false">
      <c r="A20" s="3" t="s">
        <v>35</v>
      </c>
      <c r="B20" s="9" t="n">
        <f aca="false">B12*Assumptions!$B$23</f>
        <v>45000</v>
      </c>
      <c r="C20" s="9" t="n">
        <f aca="false">C12*Assumptions!$B$23</f>
        <v>22500</v>
      </c>
      <c r="D20" s="9" t="n">
        <f aca="false">B20+C20</f>
        <v>67500</v>
      </c>
    </row>
    <row r="21" customFormat="false" ht="15" hidden="false" customHeight="false" outlineLevel="0" collapsed="false">
      <c r="A21" s="2" t="s">
        <v>36</v>
      </c>
      <c r="B21" s="10" t="n">
        <f aca="false">SUM(B16:B20)</f>
        <v>482876</v>
      </c>
      <c r="C21" s="10" t="n">
        <f aca="false">SUM(C16:C20)</f>
        <v>99540.5</v>
      </c>
      <c r="D21" s="10" t="n">
        <f aca="false">B21+C21</f>
        <v>582416.5</v>
      </c>
    </row>
    <row r="22" customFormat="false" ht="15" hidden="false" customHeight="false" outlineLevel="0" collapsed="false">
      <c r="A22" s="3" t="s">
        <v>37</v>
      </c>
      <c r="B22" s="11" t="n">
        <f aca="false">IF(B13=0,0,B21/B13)</f>
        <v>0.688760198550807</v>
      </c>
      <c r="C22" s="11" t="n">
        <f aca="false">IF(C13=0,0,C21/C13)</f>
        <v>0.685210298065671</v>
      </c>
      <c r="D22" s="11" t="n">
        <f aca="false">IF(D13=0,0,D21/D13)</f>
        <v>0.688150883204348</v>
      </c>
    </row>
    <row r="24" customFormat="false" ht="15" hidden="false" customHeight="false" outlineLevel="0" collapsed="false">
      <c r="A24" s="2" t="s">
        <v>38</v>
      </c>
    </row>
    <row r="25" customFormat="false" ht="15" hidden="false" customHeight="false" outlineLevel="0" collapsed="false">
      <c r="A25" s="3" t="s">
        <v>39</v>
      </c>
      <c r="B25" s="8" t="n">
        <f aca="false">Labor!$K$20*Labor!$C$3*(1+Assumptions!$B$33)</f>
        <v>100023</v>
      </c>
      <c r="C25" s="8" t="n">
        <f aca="false">Labor!$L$20*Labor!$C$3*(1+Assumptions!$B$33)</f>
        <v>30574.5</v>
      </c>
      <c r="D25" s="9" t="n">
        <f aca="false">B25+C25</f>
        <v>130597.5</v>
      </c>
    </row>
    <row r="26" customFormat="false" ht="15" hidden="false" customHeight="false" outlineLevel="0" collapsed="false">
      <c r="A26" s="3" t="s">
        <v>40</v>
      </c>
      <c r="B26" s="8" t="n">
        <f aca="false">Labor!$M$28*8/12</f>
        <v>103293.333333333</v>
      </c>
      <c r="C26" s="8" t="n">
        <f aca="false">Labor!$M$28*4/12</f>
        <v>51646.6666666667</v>
      </c>
      <c r="D26" s="9" t="n">
        <f aca="false">B26+C26</f>
        <v>154940</v>
      </c>
    </row>
    <row r="27" customFormat="false" ht="15" hidden="false" customHeight="false" outlineLevel="0" collapsed="false">
      <c r="A27" s="3" t="s">
        <v>41</v>
      </c>
      <c r="B27" s="8" t="n">
        <f aca="false">Opex!$B$16*8/12</f>
        <v>119062.266666667</v>
      </c>
      <c r="C27" s="8" t="n">
        <f aca="false">Opex!$B$16*4/12</f>
        <v>59531.1333333333</v>
      </c>
      <c r="D27" s="9" t="n">
        <f aca="false">B27+C27</f>
        <v>178593.4</v>
      </c>
    </row>
    <row r="28" customFormat="false" ht="15" hidden="false" customHeight="false" outlineLevel="0" collapsed="false">
      <c r="A28" s="3" t="s">
        <v>42</v>
      </c>
      <c r="B28" s="9" t="n">
        <f aca="false">(B13-B9)*Assumptions!$B$26</f>
        <v>14928.1</v>
      </c>
      <c r="C28" s="9" t="n">
        <f aca="false">(C13-C9)*Assumptions!$B$26</f>
        <v>3013.45</v>
      </c>
      <c r="D28" s="9" t="n">
        <f aca="false">B28+C28</f>
        <v>17941.55</v>
      </c>
    </row>
    <row r="29" customFormat="false" ht="15" hidden="false" customHeight="false" outlineLevel="0" collapsed="false">
      <c r="A29" s="3" t="s">
        <v>43</v>
      </c>
      <c r="B29" s="9" t="n">
        <f aca="false">B13*Assumptions!$B$27</f>
        <v>28043.2</v>
      </c>
      <c r="C29" s="9" t="n">
        <f aca="false">C13*Assumptions!$B$27</f>
        <v>5810.8</v>
      </c>
      <c r="D29" s="9" t="n">
        <f aca="false">B29+C29</f>
        <v>33854</v>
      </c>
    </row>
    <row r="30" customFormat="false" ht="15" hidden="false" customHeight="false" outlineLevel="0" collapsed="false">
      <c r="A30" s="2" t="s">
        <v>44</v>
      </c>
      <c r="B30" s="10" t="n">
        <f aca="false">SUM(B25:B29)</f>
        <v>365349.9</v>
      </c>
      <c r="C30" s="10" t="n">
        <f aca="false">SUM(C25:C29)</f>
        <v>150576.55</v>
      </c>
      <c r="D30" s="10" t="n">
        <f aca="false">B30+C30</f>
        <v>515926.45</v>
      </c>
    </row>
    <row r="32" customFormat="false" ht="15" hidden="false" customHeight="false" outlineLevel="0" collapsed="false">
      <c r="A32" s="2" t="s">
        <v>45</v>
      </c>
      <c r="B32" s="12" t="n">
        <f aca="false">B21-B30</f>
        <v>117526.1</v>
      </c>
      <c r="C32" s="12" t="n">
        <f aca="false">C21-C30</f>
        <v>-51036.05</v>
      </c>
      <c r="D32" s="12" t="n">
        <f aca="false">B32+C32</f>
        <v>66490.05</v>
      </c>
    </row>
    <row r="33" customFormat="false" ht="15" hidden="false" customHeight="false" outlineLevel="0" collapsed="false">
      <c r="A33" s="3" t="s">
        <v>46</v>
      </c>
      <c r="B33" s="11" t="n">
        <f aca="false">IF(B13=0,0,B32/B13)</f>
        <v>0.167635790494665</v>
      </c>
      <c r="C33" s="11" t="n">
        <f aca="false">IF(C13=0,0,C32/C13)</f>
        <v>-0.351318579197357</v>
      </c>
      <c r="D33" s="11" t="n">
        <f aca="false">IF(D13=0,0,D32/D13)</f>
        <v>0.078560938146157</v>
      </c>
    </row>
    <row r="34" customFormat="false" ht="15" hidden="false" customHeight="false" outlineLevel="0" collapsed="false">
      <c r="A34" s="3" t="s">
        <v>47</v>
      </c>
      <c r="B34" s="8" t="n">
        <f aca="false">Financing!$B$9*8/12</f>
        <v>114712.340559677</v>
      </c>
      <c r="C34" s="8" t="n">
        <f aca="false">Financing!$B$9*4/12</f>
        <v>57356.1702798383</v>
      </c>
      <c r="D34" s="9" t="n">
        <f aca="false">B34+C34</f>
        <v>172068.510839515</v>
      </c>
    </row>
    <row r="35" customFormat="false" ht="15" hidden="false" customHeight="false" outlineLevel="0" collapsed="false">
      <c r="A35" s="2" t="s">
        <v>48</v>
      </c>
      <c r="B35" s="10" t="n">
        <f aca="false">B32-B34</f>
        <v>2813.75944032341</v>
      </c>
      <c r="C35" s="10" t="n">
        <f aca="false">C32-C34</f>
        <v>-108392.220279838</v>
      </c>
      <c r="D35" s="10" t="n">
        <f aca="false">B35+C35</f>
        <v>-105578.460839515</v>
      </c>
    </row>
    <row r="37" customFormat="false" ht="15" hidden="false" customHeight="false" outlineLevel="0" collapsed="false">
      <c r="A37" s="2" t="s">
        <v>49</v>
      </c>
    </row>
    <row r="38" customFormat="false" ht="15" hidden="false" customHeight="false" outlineLevel="0" collapsed="false">
      <c r="A38" s="3" t="s">
        <v>50</v>
      </c>
      <c r="D38" s="11" t="n">
        <f aca="false">IF(D13=0,0,Labor!$M$32/D13)</f>
        <v>0.337375199385597</v>
      </c>
    </row>
    <row r="39" customFormat="false" ht="15" hidden="false" customHeight="false" outlineLevel="0" collapsed="false">
      <c r="A39" s="3" t="s">
        <v>51</v>
      </c>
      <c r="D39" s="13" t="n">
        <f aca="false">IF(D4=0,0,D13/D4)</f>
        <v>31.4920930232558</v>
      </c>
    </row>
    <row r="40" customFormat="false" ht="15" hidden="false" customHeight="false" outlineLevel="0" collapsed="false">
      <c r="A40" s="3" t="s">
        <v>52</v>
      </c>
      <c r="D40" s="14" t="n">
        <f aca="false">IF(D34=0,0,D32/D34)</f>
        <v>0.386416141312538</v>
      </c>
    </row>
    <row r="41" customFormat="false" ht="15" hidden="false" customHeight="false" outlineLevel="0" collapsed="false">
      <c r="A41" s="3" t="s">
        <v>53</v>
      </c>
      <c r="D41" s="11" t="n">
        <f aca="false">IF(Financing!$B$6=0,0,D35/Financing!$B$6)</f>
        <v>-0.124180734932386</v>
      </c>
    </row>
    <row r="44" customFormat="false" ht="17.35" hidden="false" customHeight="false" outlineLevel="0" collapsed="false">
      <c r="A44" s="1" t="s">
        <v>54</v>
      </c>
    </row>
    <row r="45" customFormat="false" ht="15" hidden="false" customHeight="false" outlineLevel="0" collapsed="false">
      <c r="A45" s="4" t="s">
        <v>17</v>
      </c>
      <c r="B45" s="5" t="s">
        <v>55</v>
      </c>
      <c r="C45" s="5" t="s">
        <v>56</v>
      </c>
      <c r="D45" s="5" t="s">
        <v>57</v>
      </c>
      <c r="E45" s="5" t="s">
        <v>58</v>
      </c>
      <c r="F45" s="5" t="s">
        <v>59</v>
      </c>
    </row>
    <row r="46" customFormat="false" ht="15" hidden="false" customHeight="false" outlineLevel="0" collapsed="false">
      <c r="A46" s="3" t="s">
        <v>60</v>
      </c>
      <c r="B46" s="15" t="n">
        <f aca="false">Assumptions!$B$39</f>
        <v>0.75</v>
      </c>
      <c r="C46" s="15" t="n">
        <f aca="false">Assumptions!$B$40</f>
        <v>0.9</v>
      </c>
      <c r="D46" s="15" t="n">
        <f aca="false">Assumptions!$B$41</f>
        <v>1</v>
      </c>
      <c r="E46" s="15" t="n">
        <f aca="false">Assumptions!$B$42</f>
        <v>1.03</v>
      </c>
      <c r="F46" s="15" t="n">
        <f aca="false">Assumptions!$B$43</f>
        <v>1.06</v>
      </c>
    </row>
    <row r="47" customFormat="false" ht="15" hidden="false" customHeight="false" outlineLevel="0" collapsed="false">
      <c r="A47" s="2" t="s">
        <v>23</v>
      </c>
      <c r="B47" s="12" t="n">
        <f aca="false">$D$13*B46</f>
        <v>634762.5</v>
      </c>
      <c r="C47" s="12" t="n">
        <f aca="false">$D$13*C46</f>
        <v>761715</v>
      </c>
      <c r="D47" s="12" t="n">
        <f aca="false">$D$13*D46</f>
        <v>846350</v>
      </c>
      <c r="E47" s="12" t="n">
        <f aca="false">$D$13*E46</f>
        <v>871740.5</v>
      </c>
      <c r="F47" s="12" t="n">
        <f aca="false">$D$13*F46</f>
        <v>897131</v>
      </c>
    </row>
    <row r="48" customFormat="false" ht="15" hidden="false" customHeight="false" outlineLevel="0" collapsed="false">
      <c r="A48" s="3" t="s">
        <v>61</v>
      </c>
      <c r="B48" s="9" t="n">
        <f aca="false">$D$21*B46</f>
        <v>436812.375</v>
      </c>
      <c r="C48" s="9" t="n">
        <f aca="false">$D$21*C46</f>
        <v>524174.85</v>
      </c>
      <c r="D48" s="9" t="n">
        <f aca="false">$D$21*D46</f>
        <v>582416.5</v>
      </c>
      <c r="E48" s="9" t="n">
        <f aca="false">$D$21*E46</f>
        <v>599888.995</v>
      </c>
      <c r="F48" s="9" t="n">
        <f aca="false">$D$21*F46</f>
        <v>617361.49</v>
      </c>
    </row>
    <row r="49" customFormat="false" ht="15" hidden="false" customHeight="false" outlineLevel="0" collapsed="false">
      <c r="A49" s="3" t="s">
        <v>62</v>
      </c>
      <c r="B49" s="8" t="n">
        <f aca="false">Labor!$M$32*(1+Assumptions!$B$38)^0</f>
        <v>285537.5</v>
      </c>
      <c r="C49" s="8" t="n">
        <f aca="false">Labor!$M$32*(1+Assumptions!$B$38)^1</f>
        <v>294103.625</v>
      </c>
      <c r="D49" s="8" t="n">
        <f aca="false">Labor!$M$32*(1+Assumptions!$B$38)^2</f>
        <v>302926.73375</v>
      </c>
      <c r="E49" s="8" t="n">
        <f aca="false">Labor!$M$32*(1+Assumptions!$B$38)^3</f>
        <v>312014.5357625</v>
      </c>
      <c r="F49" s="8" t="n">
        <f aca="false">Labor!$M$32*(1+Assumptions!$B$38)^4</f>
        <v>321374.971835375</v>
      </c>
    </row>
    <row r="50" customFormat="false" ht="15" hidden="false" customHeight="false" outlineLevel="0" collapsed="false">
      <c r="A50" s="3" t="s">
        <v>41</v>
      </c>
      <c r="B50" s="8" t="n">
        <f aca="false">Opex!$B$16*(1+Assumptions!$B$38)^0</f>
        <v>178593.4</v>
      </c>
      <c r="C50" s="8" t="n">
        <f aca="false">Opex!$B$16*(1+Assumptions!$B$38)^1</f>
        <v>183951.202</v>
      </c>
      <c r="D50" s="8" t="n">
        <f aca="false">Opex!$B$16*(1+Assumptions!$B$38)^2</f>
        <v>189469.73806</v>
      </c>
      <c r="E50" s="8" t="n">
        <f aca="false">Opex!$B$16*(1+Assumptions!$B$38)^3</f>
        <v>195153.8302018</v>
      </c>
      <c r="F50" s="8" t="n">
        <f aca="false">Opex!$B$16*(1+Assumptions!$B$38)^4</f>
        <v>201008.445107854</v>
      </c>
    </row>
    <row r="51" customFormat="false" ht="15" hidden="false" customHeight="false" outlineLevel="0" collapsed="false">
      <c r="A51" s="3" t="s">
        <v>63</v>
      </c>
      <c r="B51" s="9" t="n">
        <f aca="false">(SUM($D$28:$D$29))*B46</f>
        <v>38846.6625</v>
      </c>
      <c r="C51" s="9" t="n">
        <f aca="false">(SUM($D$28:$D$29))*C46</f>
        <v>46615.995</v>
      </c>
      <c r="D51" s="9" t="n">
        <f aca="false">(SUM($D$28:$D$29))*D46</f>
        <v>51795.55</v>
      </c>
      <c r="E51" s="9" t="n">
        <f aca="false">(SUM($D$28:$D$29))*E46</f>
        <v>53349.4165</v>
      </c>
      <c r="F51" s="9" t="n">
        <f aca="false">(SUM($D$28:$D$29))*F46</f>
        <v>54903.283</v>
      </c>
    </row>
    <row r="52" customFormat="false" ht="15" hidden="false" customHeight="false" outlineLevel="0" collapsed="false">
      <c r="A52" s="2" t="s">
        <v>45</v>
      </c>
      <c r="B52" s="10" t="n">
        <f aca="false">B48-B49-B50-B51</f>
        <v>-66165.1875</v>
      </c>
      <c r="C52" s="10" t="n">
        <f aca="false">C48-C49-C50-C51</f>
        <v>-495.971999999958</v>
      </c>
      <c r="D52" s="10" t="n">
        <f aca="false">D48-D49-D50-D51</f>
        <v>38224.47819</v>
      </c>
      <c r="E52" s="10" t="n">
        <f aca="false">E48-E49-E50-E51</f>
        <v>39371.2125357</v>
      </c>
      <c r="F52" s="10" t="n">
        <f aca="false">F48-F49-F50-F51</f>
        <v>40074.7900567709</v>
      </c>
    </row>
    <row r="53" customFormat="false" ht="15" hidden="false" customHeight="false" outlineLevel="0" collapsed="false">
      <c r="A53" s="3" t="s">
        <v>47</v>
      </c>
      <c r="B53" s="8" t="n">
        <f aca="false">Financing!$B$9</f>
        <v>172068.510839515</v>
      </c>
      <c r="C53" s="8" t="n">
        <f aca="false">Financing!$B$9</f>
        <v>172068.510839515</v>
      </c>
      <c r="D53" s="8" t="n">
        <f aca="false">Financing!$B$9</f>
        <v>172068.510839515</v>
      </c>
      <c r="E53" s="8" t="n">
        <f aca="false">Financing!$B$9</f>
        <v>172068.510839515</v>
      </c>
      <c r="F53" s="8" t="n">
        <f aca="false">Financing!$B$9</f>
        <v>172068.510839515</v>
      </c>
    </row>
    <row r="54" customFormat="false" ht="15" hidden="false" customHeight="false" outlineLevel="0" collapsed="false">
      <c r="A54" s="2" t="s">
        <v>48</v>
      </c>
      <c r="B54" s="10" t="n">
        <f aca="false">B52-B53</f>
        <v>-238233.698339515</v>
      </c>
      <c r="C54" s="10" t="n">
        <f aca="false">C52-C53</f>
        <v>-172564.482839515</v>
      </c>
      <c r="D54" s="10" t="n">
        <f aca="false">D52-D53</f>
        <v>-133844.032649515</v>
      </c>
      <c r="E54" s="10" t="n">
        <f aca="false">E52-E53</f>
        <v>-132697.298303815</v>
      </c>
      <c r="F54" s="10" t="n">
        <f aca="false">F52-F53</f>
        <v>-131993.720782744</v>
      </c>
    </row>
    <row r="55" customFormat="false" ht="15" hidden="false" customHeight="false" outlineLevel="0" collapsed="false">
      <c r="A55" s="3" t="s">
        <v>64</v>
      </c>
      <c r="B55" s="9" t="n">
        <f aca="false">B54</f>
        <v>-238233.698339515</v>
      </c>
      <c r="C55" s="9" t="n">
        <f aca="false">B55+C54</f>
        <v>-410798.18117903</v>
      </c>
      <c r="D55" s="9" t="n">
        <f aca="false">C55+D54</f>
        <v>-544642.213828545</v>
      </c>
      <c r="E55" s="9" t="n">
        <f aca="false">D55+E54</f>
        <v>-677339.512132359</v>
      </c>
      <c r="F55" s="9" t="n">
        <f aca="false">E55+F54</f>
        <v>-809333.232915103</v>
      </c>
    </row>
    <row r="56" customFormat="false" ht="15" hidden="false" customHeight="false" outlineLevel="0" collapsed="false">
      <c r="A56" s="3" t="s">
        <v>65</v>
      </c>
      <c r="B56" s="9" t="n">
        <f aca="false">Financing!$B$6-B55</f>
        <v>1088433.69833952</v>
      </c>
      <c r="C56" s="9" t="n">
        <f aca="false">Financing!$B$6-C55</f>
        <v>1260998.18117903</v>
      </c>
      <c r="D56" s="9" t="n">
        <f aca="false">Financing!$B$6-D55</f>
        <v>1394842.21382854</v>
      </c>
      <c r="E56" s="9" t="n">
        <f aca="false">Financing!$B$6-E55</f>
        <v>1527539.51213236</v>
      </c>
      <c r="F56" s="9" t="n">
        <f aca="false">Financing!$B$6-F55</f>
        <v>1659533.2329151</v>
      </c>
    </row>
    <row r="58" customFormat="false" ht="15" hidden="false" customHeight="false" outlineLevel="0" collapsed="false">
      <c r="A58" s="3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7" min="4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67</v>
      </c>
    </row>
    <row r="3" customFormat="false" ht="15" hidden="false" customHeight="false" outlineLevel="0" collapsed="false">
      <c r="A3" s="3" t="s">
        <v>68</v>
      </c>
      <c r="B3" s="16" t="n">
        <v>12</v>
      </c>
      <c r="C3" s="3" t="s">
        <v>69</v>
      </c>
    </row>
    <row r="4" customFormat="false" ht="15" hidden="false" customHeight="false" outlineLevel="0" collapsed="false">
      <c r="A4" s="3" t="s">
        <v>70</v>
      </c>
      <c r="B4" s="17" t="n">
        <v>60</v>
      </c>
      <c r="C4" s="3" t="s">
        <v>71</v>
      </c>
    </row>
    <row r="5" customFormat="false" ht="15" hidden="false" customHeight="false" outlineLevel="0" collapsed="false">
      <c r="A5" s="3" t="s">
        <v>72</v>
      </c>
      <c r="B5" s="18" t="n">
        <v>1500</v>
      </c>
      <c r="C5" s="3" t="s">
        <v>73</v>
      </c>
    </row>
    <row r="7" customFormat="false" ht="26.85" hidden="false" customHeight="false" outlineLevel="0" collapsed="false">
      <c r="A7" s="4" t="s">
        <v>74</v>
      </c>
      <c r="B7" s="5" t="s">
        <v>75</v>
      </c>
      <c r="C7" s="5" t="s">
        <v>76</v>
      </c>
      <c r="D7" s="5" t="s">
        <v>77</v>
      </c>
      <c r="E7" s="5" t="s">
        <v>78</v>
      </c>
      <c r="F7" s="5" t="s">
        <v>79</v>
      </c>
      <c r="G7" s="5" t="s">
        <v>80</v>
      </c>
      <c r="H7" s="5" t="s">
        <v>81</v>
      </c>
      <c r="I7" s="5" t="s">
        <v>82</v>
      </c>
      <c r="J7" s="5" t="s">
        <v>83</v>
      </c>
      <c r="K7" s="5" t="s">
        <v>84</v>
      </c>
    </row>
    <row r="8" customFormat="false" ht="15" hidden="false" customHeight="false" outlineLevel="0" collapsed="false">
      <c r="A8" s="3" t="s">
        <v>18</v>
      </c>
      <c r="B8" s="3" t="s">
        <v>85</v>
      </c>
      <c r="C8" s="3" t="s">
        <v>86</v>
      </c>
      <c r="D8" s="17" t="n">
        <v>104</v>
      </c>
      <c r="E8" s="17" t="n">
        <v>5</v>
      </c>
      <c r="F8" s="19" t="n">
        <v>30</v>
      </c>
      <c r="G8" s="20" t="n">
        <v>6</v>
      </c>
      <c r="H8" s="20" t="n">
        <v>4</v>
      </c>
      <c r="I8" s="20" t="n">
        <v>0</v>
      </c>
      <c r="J8" s="7" t="n">
        <f aca="false">D8*F8</f>
        <v>3120</v>
      </c>
      <c r="K8" s="9" t="n">
        <f aca="false">J8*(Assumptions!$B$3+G8+H8+I8)</f>
        <v>68640</v>
      </c>
    </row>
    <row r="9" customFormat="false" ht="15" hidden="false" customHeight="false" outlineLevel="0" collapsed="false">
      <c r="A9" s="3" t="s">
        <v>18</v>
      </c>
      <c r="B9" s="3" t="s">
        <v>85</v>
      </c>
      <c r="C9" s="3" t="s">
        <v>87</v>
      </c>
      <c r="D9" s="17" t="n">
        <v>104</v>
      </c>
      <c r="E9" s="17" t="n">
        <v>6</v>
      </c>
      <c r="F9" s="19" t="n">
        <v>60</v>
      </c>
      <c r="G9" s="20" t="n">
        <v>8</v>
      </c>
      <c r="H9" s="20" t="n">
        <v>1</v>
      </c>
      <c r="I9" s="20" t="n">
        <v>5</v>
      </c>
      <c r="J9" s="7" t="n">
        <f aca="false">D9*F9</f>
        <v>6240</v>
      </c>
      <c r="K9" s="9" t="n">
        <f aca="false">J9*(Assumptions!$B$3+G9+H9+I9)</f>
        <v>162240</v>
      </c>
    </row>
    <row r="10" customFormat="false" ht="15" hidden="false" customHeight="false" outlineLevel="0" collapsed="false">
      <c r="A10" s="3" t="s">
        <v>18</v>
      </c>
      <c r="B10" s="3" t="s">
        <v>88</v>
      </c>
      <c r="C10" s="3" t="s">
        <v>86</v>
      </c>
      <c r="D10" s="17" t="n">
        <v>70</v>
      </c>
      <c r="E10" s="17" t="n">
        <v>5</v>
      </c>
      <c r="F10" s="19" t="n">
        <v>80</v>
      </c>
      <c r="G10" s="20" t="n">
        <v>6</v>
      </c>
      <c r="H10" s="20" t="n">
        <v>4</v>
      </c>
      <c r="I10" s="20" t="n">
        <v>5</v>
      </c>
      <c r="J10" s="7" t="n">
        <f aca="false">D10*F10</f>
        <v>5600</v>
      </c>
      <c r="K10" s="9" t="n">
        <f aca="false">J10*(Assumptions!$B$3+G10+H10+I10)</f>
        <v>151200</v>
      </c>
    </row>
    <row r="11" customFormat="false" ht="15" hidden="false" customHeight="false" outlineLevel="0" collapsed="false">
      <c r="A11" s="3" t="s">
        <v>18</v>
      </c>
      <c r="B11" s="3" t="s">
        <v>88</v>
      </c>
      <c r="C11" s="3" t="s">
        <v>87</v>
      </c>
      <c r="D11" s="17" t="n">
        <v>70</v>
      </c>
      <c r="E11" s="17" t="n">
        <v>6</v>
      </c>
      <c r="F11" s="19" t="n">
        <v>100</v>
      </c>
      <c r="G11" s="20" t="n">
        <v>8</v>
      </c>
      <c r="H11" s="20" t="n">
        <v>1</v>
      </c>
      <c r="I11" s="20" t="n">
        <v>16</v>
      </c>
      <c r="J11" s="7" t="n">
        <f aca="false">D11*F11</f>
        <v>7000</v>
      </c>
      <c r="K11" s="9" t="n">
        <f aca="false">J11*(Assumptions!$B$3+G11+H11+I11)</f>
        <v>259000</v>
      </c>
    </row>
    <row r="12" customFormat="false" ht="15" hidden="false" customHeight="false" outlineLevel="0" collapsed="false">
      <c r="A12" s="3" t="s">
        <v>19</v>
      </c>
      <c r="B12" s="3" t="s">
        <v>85</v>
      </c>
      <c r="C12" s="3" t="s">
        <v>86</v>
      </c>
      <c r="D12" s="17" t="n">
        <v>53</v>
      </c>
      <c r="E12" s="17" t="n">
        <v>5</v>
      </c>
      <c r="F12" s="19" t="n">
        <v>15</v>
      </c>
      <c r="G12" s="20" t="n">
        <v>6</v>
      </c>
      <c r="H12" s="20" t="n">
        <v>0</v>
      </c>
      <c r="I12" s="20" t="n">
        <v>0</v>
      </c>
      <c r="J12" s="7" t="n">
        <f aca="false">D12*F12</f>
        <v>795</v>
      </c>
      <c r="K12" s="9" t="n">
        <f aca="false">J12*(Assumptions!$B$3+G12+H12+I12)</f>
        <v>14310</v>
      </c>
    </row>
    <row r="13" customFormat="false" ht="15" hidden="false" customHeight="false" outlineLevel="0" collapsed="false">
      <c r="A13" s="3" t="s">
        <v>19</v>
      </c>
      <c r="B13" s="3" t="s">
        <v>85</v>
      </c>
      <c r="C13" s="3" t="s">
        <v>87</v>
      </c>
      <c r="D13" s="17" t="n">
        <v>53</v>
      </c>
      <c r="E13" s="17" t="n">
        <v>6</v>
      </c>
      <c r="F13" s="19" t="n">
        <v>20</v>
      </c>
      <c r="G13" s="20" t="n">
        <v>8</v>
      </c>
      <c r="H13" s="20" t="n">
        <v>0</v>
      </c>
      <c r="I13" s="20" t="n">
        <v>5</v>
      </c>
      <c r="J13" s="7" t="n">
        <f aca="false">D13*F13</f>
        <v>1060</v>
      </c>
      <c r="K13" s="9" t="n">
        <f aca="false">J13*(Assumptions!$B$3+G13+H13+I13)</f>
        <v>26500</v>
      </c>
    </row>
    <row r="14" customFormat="false" ht="15" hidden="false" customHeight="false" outlineLevel="0" collapsed="false">
      <c r="A14" s="3" t="s">
        <v>19</v>
      </c>
      <c r="B14" s="3" t="s">
        <v>88</v>
      </c>
      <c r="C14" s="3" t="s">
        <v>86</v>
      </c>
      <c r="D14" s="17" t="n">
        <v>34</v>
      </c>
      <c r="E14" s="17" t="n">
        <v>5</v>
      </c>
      <c r="F14" s="19" t="n">
        <v>30</v>
      </c>
      <c r="G14" s="20" t="n">
        <v>6</v>
      </c>
      <c r="H14" s="20" t="n">
        <v>0</v>
      </c>
      <c r="I14" s="20" t="n">
        <v>5</v>
      </c>
      <c r="J14" s="7" t="n">
        <f aca="false">D14*F14</f>
        <v>1020</v>
      </c>
      <c r="K14" s="9" t="n">
        <f aca="false">J14*(Assumptions!$B$3+G14+H14+I14)</f>
        <v>23460</v>
      </c>
    </row>
    <row r="15" customFormat="false" ht="15" hidden="false" customHeight="false" outlineLevel="0" collapsed="false">
      <c r="A15" s="3" t="s">
        <v>19</v>
      </c>
      <c r="B15" s="3" t="s">
        <v>88</v>
      </c>
      <c r="C15" s="3" t="s">
        <v>87</v>
      </c>
      <c r="D15" s="17" t="n">
        <v>34</v>
      </c>
      <c r="E15" s="17" t="n">
        <v>6</v>
      </c>
      <c r="F15" s="19" t="n">
        <v>60</v>
      </c>
      <c r="G15" s="20" t="n">
        <v>8</v>
      </c>
      <c r="H15" s="20" t="n">
        <v>0</v>
      </c>
      <c r="I15" s="20" t="n">
        <v>5</v>
      </c>
      <c r="J15" s="7" t="n">
        <f aca="false">D15*F15</f>
        <v>2040</v>
      </c>
      <c r="K15" s="9" t="n">
        <f aca="false">J15*(Assumptions!$B$3+G15+H15+I15)</f>
        <v>51000</v>
      </c>
    </row>
    <row r="16" customFormat="false" ht="15" hidden="false" customHeight="false" outlineLevel="0" collapsed="false">
      <c r="A16" s="2" t="s">
        <v>89</v>
      </c>
      <c r="J16" s="21" t="n">
        <f aca="false">SUM(J8:J15)</f>
        <v>26875</v>
      </c>
      <c r="K16" s="10" t="n">
        <f aca="false">SUM(K8:K15)</f>
        <v>756350</v>
      </c>
    </row>
    <row r="17" customFormat="false" ht="15" hidden="false" customHeight="false" outlineLevel="0" collapsed="false">
      <c r="A17" s="3" t="s">
        <v>90</v>
      </c>
    </row>
    <row r="18" customFormat="false" ht="15" hidden="false" customHeight="false" outlineLevel="0" collapsed="false">
      <c r="A18" s="4" t="s">
        <v>91</v>
      </c>
      <c r="B18" s="5" t="s">
        <v>37</v>
      </c>
      <c r="C18" s="5" t="s">
        <v>92</v>
      </c>
    </row>
    <row r="19" customFormat="false" ht="15" hidden="false" customHeight="false" outlineLevel="0" collapsed="false">
      <c r="A19" s="3" t="s">
        <v>24</v>
      </c>
      <c r="B19" s="22" t="n">
        <v>0.95</v>
      </c>
      <c r="C19" s="3" t="s">
        <v>93</v>
      </c>
    </row>
    <row r="20" customFormat="false" ht="15" hidden="false" customHeight="false" outlineLevel="0" collapsed="false">
      <c r="A20" s="3" t="s">
        <v>25</v>
      </c>
      <c r="B20" s="22" t="n">
        <v>0.15</v>
      </c>
      <c r="C20" s="3" t="s">
        <v>94</v>
      </c>
    </row>
    <row r="21" customFormat="false" ht="15" hidden="false" customHeight="false" outlineLevel="0" collapsed="false">
      <c r="A21" s="3" t="s">
        <v>26</v>
      </c>
      <c r="B21" s="22" t="n">
        <v>0.7</v>
      </c>
      <c r="C21" s="3" t="s">
        <v>95</v>
      </c>
    </row>
    <row r="22" customFormat="false" ht="15" hidden="false" customHeight="false" outlineLevel="0" collapsed="false">
      <c r="A22" s="3" t="s">
        <v>27</v>
      </c>
      <c r="B22" s="22" t="n">
        <v>0.76</v>
      </c>
      <c r="C22" s="3" t="s">
        <v>96</v>
      </c>
    </row>
    <row r="23" customFormat="false" ht="15" hidden="false" customHeight="false" outlineLevel="0" collapsed="false">
      <c r="A23" s="3" t="s">
        <v>28</v>
      </c>
      <c r="B23" s="22" t="n">
        <v>0.75</v>
      </c>
      <c r="C23" s="3" t="s">
        <v>97</v>
      </c>
    </row>
    <row r="25" customFormat="false" ht="15" hidden="false" customHeight="false" outlineLevel="0" collapsed="false">
      <c r="A25" s="4" t="s">
        <v>98</v>
      </c>
      <c r="B25" s="5" t="s">
        <v>99</v>
      </c>
      <c r="C25" s="5" t="s">
        <v>100</v>
      </c>
    </row>
    <row r="26" customFormat="false" ht="15" hidden="false" customHeight="false" outlineLevel="0" collapsed="false">
      <c r="A26" s="3" t="s">
        <v>42</v>
      </c>
      <c r="B26" s="23" t="n">
        <v>0.0275</v>
      </c>
      <c r="C26" s="3" t="s">
        <v>101</v>
      </c>
    </row>
    <row r="27" customFormat="false" ht="15" hidden="false" customHeight="false" outlineLevel="0" collapsed="false">
      <c r="A27" s="3" t="s">
        <v>43</v>
      </c>
      <c r="B27" s="23" t="n">
        <v>0.04</v>
      </c>
      <c r="C27" s="3" t="s">
        <v>102</v>
      </c>
    </row>
    <row r="28" customFormat="false" ht="15" hidden="false" customHeight="false" outlineLevel="0" collapsed="false">
      <c r="A28" s="3" t="s">
        <v>103</v>
      </c>
      <c r="B28" s="23" t="n">
        <v>0.1</v>
      </c>
      <c r="C28" s="3" t="s">
        <v>104</v>
      </c>
    </row>
    <row r="29" customFormat="false" ht="15" hidden="false" customHeight="false" outlineLevel="0" collapsed="false">
      <c r="A29" s="3" t="s">
        <v>105</v>
      </c>
      <c r="B29" s="24" t="n">
        <v>1800000</v>
      </c>
      <c r="C29" s="3" t="s">
        <v>106</v>
      </c>
    </row>
    <row r="30" customFormat="false" ht="15" hidden="false" customHeight="false" outlineLevel="0" collapsed="false">
      <c r="A30" s="3" t="s">
        <v>107</v>
      </c>
      <c r="B30" s="25" t="n">
        <v>0.5792</v>
      </c>
      <c r="C30" s="3" t="s">
        <v>108</v>
      </c>
    </row>
    <row r="31" customFormat="false" ht="15" hidden="false" customHeight="false" outlineLevel="0" collapsed="false">
      <c r="A31" s="3" t="s">
        <v>109</v>
      </c>
      <c r="B31" s="25" t="n">
        <v>0.4371</v>
      </c>
      <c r="C31" s="3" t="s">
        <v>110</v>
      </c>
    </row>
    <row r="32" customFormat="false" ht="15" hidden="false" customHeight="false" outlineLevel="0" collapsed="false">
      <c r="A32" s="3" t="s">
        <v>111</v>
      </c>
      <c r="B32" s="17" t="n">
        <v>52</v>
      </c>
      <c r="C32" s="3" t="s">
        <v>112</v>
      </c>
    </row>
    <row r="33" customFormat="false" ht="15" hidden="false" customHeight="false" outlineLevel="0" collapsed="false">
      <c r="A33" s="3" t="s">
        <v>113</v>
      </c>
      <c r="B33" s="23" t="n">
        <v>0.1</v>
      </c>
      <c r="C33" s="3" t="s">
        <v>114</v>
      </c>
    </row>
    <row r="34" customFormat="false" ht="15" hidden="false" customHeight="false" outlineLevel="0" collapsed="false">
      <c r="A34" s="3" t="s">
        <v>115</v>
      </c>
      <c r="B34" s="23" t="n">
        <v>0.22</v>
      </c>
      <c r="C34" s="3" t="s">
        <v>116</v>
      </c>
    </row>
    <row r="35" customFormat="false" ht="15" hidden="false" customHeight="false" outlineLevel="0" collapsed="false">
      <c r="A35" s="3" t="s">
        <v>117</v>
      </c>
      <c r="B35" s="22" t="n">
        <v>0.7</v>
      </c>
      <c r="C35" s="3" t="s">
        <v>118</v>
      </c>
    </row>
    <row r="36" customFormat="false" ht="15" hidden="false" customHeight="false" outlineLevel="0" collapsed="false">
      <c r="A36" s="3" t="s">
        <v>119</v>
      </c>
      <c r="B36" s="26" t="n">
        <v>0.0725</v>
      </c>
      <c r="C36" s="3" t="s">
        <v>120</v>
      </c>
    </row>
    <row r="37" customFormat="false" ht="15" hidden="false" customHeight="false" outlineLevel="0" collapsed="false">
      <c r="A37" s="3" t="s">
        <v>121</v>
      </c>
      <c r="B37" s="17" t="n">
        <v>25</v>
      </c>
      <c r="C37" s="3" t="s">
        <v>122</v>
      </c>
    </row>
    <row r="38" customFormat="false" ht="15" hidden="false" customHeight="false" outlineLevel="0" collapsed="false">
      <c r="A38" s="3" t="s">
        <v>123</v>
      </c>
      <c r="B38" s="23" t="n">
        <v>0.03</v>
      </c>
      <c r="C38" s="3" t="s">
        <v>120</v>
      </c>
    </row>
    <row r="39" customFormat="false" ht="15" hidden="false" customHeight="false" outlineLevel="0" collapsed="false">
      <c r="A39" s="3" t="s">
        <v>124</v>
      </c>
      <c r="B39" s="23" t="n">
        <v>0.75</v>
      </c>
      <c r="C39" s="3" t="s">
        <v>125</v>
      </c>
    </row>
    <row r="40" customFormat="false" ht="15" hidden="false" customHeight="false" outlineLevel="0" collapsed="false">
      <c r="A40" s="3" t="s">
        <v>126</v>
      </c>
      <c r="B40" s="23" t="n">
        <v>0.9</v>
      </c>
      <c r="C40" s="3" t="s">
        <v>125</v>
      </c>
    </row>
    <row r="41" customFormat="false" ht="15" hidden="false" customHeight="false" outlineLevel="0" collapsed="false">
      <c r="A41" s="3" t="s">
        <v>127</v>
      </c>
      <c r="B41" s="23" t="n">
        <v>1</v>
      </c>
      <c r="C41" s="3" t="s">
        <v>125</v>
      </c>
    </row>
    <row r="42" customFormat="false" ht="15" hidden="false" customHeight="false" outlineLevel="0" collapsed="false">
      <c r="A42" s="3" t="s">
        <v>128</v>
      </c>
      <c r="B42" s="23" t="n">
        <v>1.03</v>
      </c>
      <c r="C42" s="3" t="s">
        <v>125</v>
      </c>
    </row>
    <row r="43" customFormat="false" ht="15" hidden="false" customHeight="false" outlineLevel="0" collapsed="false">
      <c r="A43" s="3" t="s">
        <v>129</v>
      </c>
      <c r="B43" s="23" t="n">
        <v>1.06</v>
      </c>
      <c r="C43" s="3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2" min="9" style="0" width="11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3" t="s">
        <v>130</v>
      </c>
    </row>
    <row r="3" customFormat="false" ht="15" hidden="false" customHeight="false" outlineLevel="0" collapsed="false">
      <c r="A3" s="3" t="s">
        <v>131</v>
      </c>
      <c r="C3" s="16" t="n">
        <v>15</v>
      </c>
    </row>
    <row r="5" customFormat="false" ht="39.55" hidden="false" customHeight="false" outlineLevel="0" collapsed="false">
      <c r="A5" s="4" t="s">
        <v>132</v>
      </c>
      <c r="B5" s="5" t="s">
        <v>76</v>
      </c>
      <c r="C5" s="5" t="s">
        <v>133</v>
      </c>
      <c r="D5" s="5" t="s">
        <v>134</v>
      </c>
      <c r="E5" s="5" t="s">
        <v>135</v>
      </c>
      <c r="F5" s="5" t="s">
        <v>136</v>
      </c>
      <c r="G5" s="5" t="s">
        <v>137</v>
      </c>
      <c r="H5" s="5" t="s">
        <v>138</v>
      </c>
      <c r="I5" s="5" t="s">
        <v>139</v>
      </c>
      <c r="J5" s="5" t="s">
        <v>140</v>
      </c>
      <c r="K5" s="5" t="s">
        <v>141</v>
      </c>
      <c r="L5" s="5" t="s">
        <v>142</v>
      </c>
      <c r="M5" s="5" t="s">
        <v>143</v>
      </c>
    </row>
    <row r="6" customFormat="false" ht="15" hidden="false" customHeight="false" outlineLevel="0" collapsed="false">
      <c r="A6" s="3" t="s">
        <v>144</v>
      </c>
      <c r="B6" s="3" t="s">
        <v>86</v>
      </c>
      <c r="C6" s="7" t="n">
        <v>5</v>
      </c>
      <c r="D6" s="3" t="s">
        <v>145</v>
      </c>
      <c r="K6" s="7" t="n">
        <v>0</v>
      </c>
      <c r="L6" s="7" t="n">
        <v>0</v>
      </c>
      <c r="M6" s="9" t="n">
        <v>0</v>
      </c>
    </row>
    <row r="7" customFormat="false" ht="15" hidden="false" customHeight="false" outlineLevel="0" collapsed="false">
      <c r="A7" s="3"/>
      <c r="B7" s="3" t="s">
        <v>87</v>
      </c>
      <c r="C7" s="7" t="n">
        <v>6</v>
      </c>
      <c r="D7" s="3" t="s">
        <v>145</v>
      </c>
      <c r="K7" s="7" t="n">
        <v>0</v>
      </c>
      <c r="L7" s="7" t="n">
        <v>0</v>
      </c>
      <c r="M7" s="9" t="n">
        <v>0</v>
      </c>
    </row>
    <row r="8" customFormat="false" ht="15" hidden="false" customHeight="false" outlineLevel="0" collapsed="false">
      <c r="A8" s="3" t="s">
        <v>146</v>
      </c>
      <c r="B8" s="3" t="s">
        <v>86</v>
      </c>
      <c r="C8" s="7" t="n">
        <v>5</v>
      </c>
      <c r="D8" s="3" t="s">
        <v>145</v>
      </c>
      <c r="K8" s="7" t="n">
        <v>0</v>
      </c>
      <c r="L8" s="7" t="n">
        <v>0</v>
      </c>
      <c r="M8" s="9" t="n">
        <v>0</v>
      </c>
    </row>
    <row r="9" customFormat="false" ht="15" hidden="false" customHeight="false" outlineLevel="0" collapsed="false">
      <c r="A9" s="3"/>
      <c r="B9" s="3" t="s">
        <v>87</v>
      </c>
      <c r="C9" s="7" t="n">
        <v>6</v>
      </c>
      <c r="D9" s="3" t="s">
        <v>145</v>
      </c>
      <c r="K9" s="7" t="n">
        <v>0</v>
      </c>
      <c r="L9" s="7" t="n">
        <v>0</v>
      </c>
      <c r="M9" s="9" t="n">
        <v>0</v>
      </c>
    </row>
    <row r="10" customFormat="false" ht="15" hidden="false" customHeight="false" outlineLevel="0" collapsed="false">
      <c r="A10" s="3" t="s">
        <v>147</v>
      </c>
      <c r="B10" s="3" t="s">
        <v>86</v>
      </c>
      <c r="C10" s="7" t="n">
        <v>5</v>
      </c>
      <c r="D10" s="27" t="n">
        <f aca="false">Assumptions!$D$8/3</f>
        <v>34.6666666666667</v>
      </c>
      <c r="E10" s="6" t="n">
        <f aca="false">Assumptions!$F$8</f>
        <v>30</v>
      </c>
      <c r="F10" s="28" t="n">
        <f aca="false">IF(C10=0,0,E10/C10)</f>
        <v>6</v>
      </c>
      <c r="G10" s="19" t="n">
        <v>2</v>
      </c>
      <c r="H10" s="27" t="n">
        <f aca="false">Assumptions!$D$12/3</f>
        <v>17.6666666666667</v>
      </c>
      <c r="I10" s="6" t="n">
        <f aca="false">Assumptions!$F$12</f>
        <v>15</v>
      </c>
      <c r="J10" s="19" t="n">
        <v>1</v>
      </c>
      <c r="K10" s="7" t="n">
        <f aca="false">C10*D10*G10</f>
        <v>346.666666666667</v>
      </c>
      <c r="L10" s="7" t="n">
        <f aca="false">C10*H10*J10</f>
        <v>88.3333333333333</v>
      </c>
      <c r="M10" s="9" t="n">
        <f aca="false">(K10+L10)*Labor!$C$3</f>
        <v>6525</v>
      </c>
    </row>
    <row r="11" customFormat="false" ht="15" hidden="false" customHeight="false" outlineLevel="0" collapsed="false">
      <c r="A11" s="3"/>
      <c r="B11" s="3" t="s">
        <v>87</v>
      </c>
      <c r="C11" s="7" t="n">
        <v>6</v>
      </c>
      <c r="D11" s="27" t="n">
        <f aca="false">Assumptions!$D$9/3</f>
        <v>34.6666666666667</v>
      </c>
      <c r="E11" s="6" t="n">
        <f aca="false">Assumptions!$F$9</f>
        <v>60</v>
      </c>
      <c r="F11" s="28" t="n">
        <f aca="false">IF(C11=0,0,E11/C11)</f>
        <v>10</v>
      </c>
      <c r="G11" s="19" t="n">
        <v>3</v>
      </c>
      <c r="H11" s="27" t="n">
        <f aca="false">Assumptions!$D$13/3</f>
        <v>17.6666666666667</v>
      </c>
      <c r="I11" s="6" t="n">
        <f aca="false">Assumptions!$F$13</f>
        <v>20</v>
      </c>
      <c r="J11" s="19" t="n">
        <v>2</v>
      </c>
      <c r="K11" s="7" t="n">
        <f aca="false">C11*D11*G11</f>
        <v>624</v>
      </c>
      <c r="L11" s="7" t="n">
        <f aca="false">C11*H11*J11</f>
        <v>212</v>
      </c>
      <c r="M11" s="9" t="n">
        <f aca="false">(K11+L11)*Labor!$C$3</f>
        <v>12540</v>
      </c>
    </row>
    <row r="12" customFormat="false" ht="15" hidden="false" customHeight="false" outlineLevel="0" collapsed="false">
      <c r="A12" s="3" t="s">
        <v>148</v>
      </c>
      <c r="B12" s="3" t="s">
        <v>86</v>
      </c>
      <c r="C12" s="7" t="n">
        <v>5</v>
      </c>
      <c r="D12" s="27" t="n">
        <f aca="false">Assumptions!$D$8/3</f>
        <v>34.6666666666667</v>
      </c>
      <c r="E12" s="6" t="n">
        <f aca="false">Assumptions!$F$8</f>
        <v>30</v>
      </c>
      <c r="F12" s="28" t="n">
        <f aca="false">IF(C12=0,0,E12/C12)</f>
        <v>6</v>
      </c>
      <c r="G12" s="19" t="n">
        <v>2</v>
      </c>
      <c r="H12" s="27" t="n">
        <f aca="false">Assumptions!$D$12/3</f>
        <v>17.6666666666667</v>
      </c>
      <c r="I12" s="6" t="n">
        <f aca="false">Assumptions!$F$12</f>
        <v>15</v>
      </c>
      <c r="J12" s="19" t="n">
        <v>1</v>
      </c>
      <c r="K12" s="7" t="n">
        <f aca="false">C12*D12*G12</f>
        <v>346.666666666667</v>
      </c>
      <c r="L12" s="7" t="n">
        <f aca="false">C12*H12*J12</f>
        <v>88.3333333333333</v>
      </c>
      <c r="M12" s="9" t="n">
        <f aca="false">(K12+L12)*Labor!$C$3</f>
        <v>6525</v>
      </c>
    </row>
    <row r="13" customFormat="false" ht="15" hidden="false" customHeight="false" outlineLevel="0" collapsed="false">
      <c r="A13" s="3"/>
      <c r="B13" s="3" t="s">
        <v>87</v>
      </c>
      <c r="C13" s="7" t="n">
        <v>6</v>
      </c>
      <c r="D13" s="27" t="n">
        <f aca="false">Assumptions!$D$9/3</f>
        <v>34.6666666666667</v>
      </c>
      <c r="E13" s="6" t="n">
        <f aca="false">Assumptions!$F$9</f>
        <v>60</v>
      </c>
      <c r="F13" s="28" t="n">
        <f aca="false">IF(C13=0,0,E13/C13)</f>
        <v>10</v>
      </c>
      <c r="G13" s="19" t="n">
        <v>3</v>
      </c>
      <c r="H13" s="27" t="n">
        <f aca="false">Assumptions!$D$13/3</f>
        <v>17.6666666666667</v>
      </c>
      <c r="I13" s="6" t="n">
        <f aca="false">Assumptions!$F$13</f>
        <v>20</v>
      </c>
      <c r="J13" s="19" t="n">
        <v>2</v>
      </c>
      <c r="K13" s="7" t="n">
        <f aca="false">C13*D13*G13</f>
        <v>624</v>
      </c>
      <c r="L13" s="7" t="n">
        <f aca="false">C13*H13*J13</f>
        <v>212</v>
      </c>
      <c r="M13" s="9" t="n">
        <f aca="false">(K13+L13)*Labor!$C$3</f>
        <v>12540</v>
      </c>
    </row>
    <row r="14" customFormat="false" ht="15" hidden="false" customHeight="false" outlineLevel="0" collapsed="false">
      <c r="A14" s="3" t="s">
        <v>149</v>
      </c>
      <c r="B14" s="3" t="s">
        <v>86</v>
      </c>
      <c r="C14" s="7" t="n">
        <v>5</v>
      </c>
      <c r="D14" s="27" t="n">
        <f aca="false">Assumptions!$D$8/3</f>
        <v>34.6666666666667</v>
      </c>
      <c r="E14" s="6" t="n">
        <f aca="false">Assumptions!$F$8</f>
        <v>30</v>
      </c>
      <c r="F14" s="28" t="n">
        <f aca="false">IF(C14=0,0,E14/C14)</f>
        <v>6</v>
      </c>
      <c r="G14" s="19" t="n">
        <v>2</v>
      </c>
      <c r="H14" s="27" t="n">
        <f aca="false">Assumptions!$D$12/3</f>
        <v>17.6666666666667</v>
      </c>
      <c r="I14" s="6" t="n">
        <f aca="false">Assumptions!$F$12</f>
        <v>15</v>
      </c>
      <c r="J14" s="19" t="n">
        <v>1</v>
      </c>
      <c r="K14" s="7" t="n">
        <f aca="false">C14*D14*G14</f>
        <v>346.666666666667</v>
      </c>
      <c r="L14" s="7" t="n">
        <f aca="false">C14*H14*J14</f>
        <v>88.3333333333333</v>
      </c>
      <c r="M14" s="9" t="n">
        <f aca="false">(K14+L14)*Labor!$C$3</f>
        <v>6525</v>
      </c>
    </row>
    <row r="15" customFormat="false" ht="15" hidden="false" customHeight="false" outlineLevel="0" collapsed="false">
      <c r="A15" s="3"/>
      <c r="B15" s="3" t="s">
        <v>87</v>
      </c>
      <c r="C15" s="7" t="n">
        <v>6</v>
      </c>
      <c r="D15" s="27" t="n">
        <f aca="false">Assumptions!$D$9/3</f>
        <v>34.6666666666667</v>
      </c>
      <c r="E15" s="6" t="n">
        <f aca="false">Assumptions!$F$9</f>
        <v>60</v>
      </c>
      <c r="F15" s="28" t="n">
        <f aca="false">IF(C15=0,0,E15/C15)</f>
        <v>10</v>
      </c>
      <c r="G15" s="19" t="n">
        <v>3</v>
      </c>
      <c r="H15" s="27" t="n">
        <f aca="false">Assumptions!$D$13/3</f>
        <v>17.6666666666667</v>
      </c>
      <c r="I15" s="6" t="n">
        <f aca="false">Assumptions!$F$13</f>
        <v>20</v>
      </c>
      <c r="J15" s="19" t="n">
        <v>2</v>
      </c>
      <c r="K15" s="7" t="n">
        <f aca="false">C15*D15*G15</f>
        <v>624</v>
      </c>
      <c r="L15" s="7" t="n">
        <f aca="false">C15*H15*J15</f>
        <v>212</v>
      </c>
      <c r="M15" s="9" t="n">
        <f aca="false">(K15+L15)*Labor!$C$3</f>
        <v>12540</v>
      </c>
    </row>
    <row r="16" customFormat="false" ht="15" hidden="false" customHeight="false" outlineLevel="0" collapsed="false">
      <c r="A16" s="3" t="s">
        <v>150</v>
      </c>
      <c r="B16" s="3" t="s">
        <v>86</v>
      </c>
      <c r="C16" s="7" t="n">
        <v>5</v>
      </c>
      <c r="D16" s="27" t="n">
        <f aca="false">Assumptions!$D$10/2</f>
        <v>35</v>
      </c>
      <c r="E16" s="6" t="n">
        <f aca="false">Assumptions!$F$10</f>
        <v>80</v>
      </c>
      <c r="F16" s="28" t="n">
        <f aca="false">IF(C16=0,0,E16/C16)</f>
        <v>16</v>
      </c>
      <c r="G16" s="19" t="n">
        <v>3</v>
      </c>
      <c r="H16" s="27" t="n">
        <f aca="false">Assumptions!$D$14/2</f>
        <v>17</v>
      </c>
      <c r="I16" s="6" t="n">
        <f aca="false">Assumptions!$F$14</f>
        <v>30</v>
      </c>
      <c r="J16" s="19" t="n">
        <v>2</v>
      </c>
      <c r="K16" s="7" t="n">
        <f aca="false">C16*D16*G16</f>
        <v>525</v>
      </c>
      <c r="L16" s="7" t="n">
        <f aca="false">C16*H16*J16</f>
        <v>170</v>
      </c>
      <c r="M16" s="9" t="n">
        <f aca="false">(K16+L16)*Labor!$C$3</f>
        <v>10425</v>
      </c>
    </row>
    <row r="17" customFormat="false" ht="15" hidden="false" customHeight="false" outlineLevel="0" collapsed="false">
      <c r="A17" s="3"/>
      <c r="B17" s="3" t="s">
        <v>87</v>
      </c>
      <c r="C17" s="7" t="n">
        <v>6</v>
      </c>
      <c r="D17" s="27" t="n">
        <f aca="false">Assumptions!$D$11/2</f>
        <v>35</v>
      </c>
      <c r="E17" s="6" t="n">
        <f aca="false">Assumptions!$F$11</f>
        <v>100</v>
      </c>
      <c r="F17" s="28" t="n">
        <f aca="false">IF(C17=0,0,E17/C17)</f>
        <v>16.6666666666667</v>
      </c>
      <c r="G17" s="19" t="n">
        <v>5</v>
      </c>
      <c r="H17" s="27" t="n">
        <f aca="false">Assumptions!$D$15/2</f>
        <v>17</v>
      </c>
      <c r="I17" s="6" t="n">
        <f aca="false">Assumptions!$F$15</f>
        <v>60</v>
      </c>
      <c r="J17" s="19" t="n">
        <v>3</v>
      </c>
      <c r="K17" s="7" t="n">
        <f aca="false">C17*D17*G17</f>
        <v>1050</v>
      </c>
      <c r="L17" s="7" t="n">
        <f aca="false">C17*H17*J17</f>
        <v>306</v>
      </c>
      <c r="M17" s="9" t="n">
        <f aca="false">(K17+L17)*Labor!$C$3</f>
        <v>20340</v>
      </c>
    </row>
    <row r="18" customFormat="false" ht="15" hidden="false" customHeight="false" outlineLevel="0" collapsed="false">
      <c r="A18" s="3" t="s">
        <v>151</v>
      </c>
      <c r="B18" s="3" t="s">
        <v>86</v>
      </c>
      <c r="C18" s="7" t="n">
        <v>5</v>
      </c>
      <c r="D18" s="27" t="n">
        <f aca="false">Assumptions!$D$10/2</f>
        <v>35</v>
      </c>
      <c r="E18" s="6" t="n">
        <f aca="false">Assumptions!$F$10</f>
        <v>80</v>
      </c>
      <c r="F18" s="28" t="n">
        <f aca="false">IF(C18=0,0,E18/C18)</f>
        <v>16</v>
      </c>
      <c r="G18" s="19" t="n">
        <v>3</v>
      </c>
      <c r="H18" s="27" t="n">
        <f aca="false">Assumptions!$D$14/2</f>
        <v>17</v>
      </c>
      <c r="I18" s="6" t="n">
        <f aca="false">Assumptions!$F$14</f>
        <v>30</v>
      </c>
      <c r="J18" s="19" t="n">
        <v>2</v>
      </c>
      <c r="K18" s="7" t="n">
        <f aca="false">C18*D18*G18</f>
        <v>525</v>
      </c>
      <c r="L18" s="7" t="n">
        <f aca="false">C18*H18*J18</f>
        <v>170</v>
      </c>
      <c r="M18" s="9" t="n">
        <f aca="false">(K18+L18)*Labor!$C$3</f>
        <v>10425</v>
      </c>
    </row>
    <row r="19" customFormat="false" ht="15" hidden="false" customHeight="false" outlineLevel="0" collapsed="false">
      <c r="A19" s="3"/>
      <c r="B19" s="3" t="s">
        <v>87</v>
      </c>
      <c r="C19" s="7" t="n">
        <v>6</v>
      </c>
      <c r="D19" s="27" t="n">
        <f aca="false">Assumptions!$D$11/2</f>
        <v>35</v>
      </c>
      <c r="E19" s="6" t="n">
        <f aca="false">Assumptions!$F$11</f>
        <v>100</v>
      </c>
      <c r="F19" s="28" t="n">
        <f aca="false">IF(C19=0,0,E19/C19)</f>
        <v>16.6666666666667</v>
      </c>
      <c r="G19" s="19" t="n">
        <v>5</v>
      </c>
      <c r="H19" s="27" t="n">
        <f aca="false">Assumptions!$D$15/2</f>
        <v>17</v>
      </c>
      <c r="I19" s="6" t="n">
        <f aca="false">Assumptions!$F$15</f>
        <v>60</v>
      </c>
      <c r="J19" s="19" t="n">
        <v>3</v>
      </c>
      <c r="K19" s="7" t="n">
        <f aca="false">C19*D19*G19</f>
        <v>1050</v>
      </c>
      <c r="L19" s="7" t="n">
        <f aca="false">C19*H19*J19</f>
        <v>306</v>
      </c>
      <c r="M19" s="9" t="n">
        <f aca="false">(K19+L19)*Labor!$C$3</f>
        <v>20340</v>
      </c>
    </row>
    <row r="20" customFormat="false" ht="15" hidden="false" customHeight="false" outlineLevel="0" collapsed="false">
      <c r="A20" s="2" t="s">
        <v>89</v>
      </c>
      <c r="K20" s="21" t="n">
        <f aca="false">SUM(K6:K19)</f>
        <v>6062</v>
      </c>
      <c r="L20" s="21" t="n">
        <f aca="false">SUM(L6:L19)</f>
        <v>1853</v>
      </c>
      <c r="M20" s="10" t="n">
        <f aca="false">SUM(M6:M19)</f>
        <v>118725</v>
      </c>
    </row>
    <row r="23" customFormat="false" ht="15" hidden="false" customHeight="false" outlineLevel="0" collapsed="false">
      <c r="A23" s="4" t="s">
        <v>152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 t="s">
        <v>153</v>
      </c>
    </row>
    <row r="24" customFormat="false" ht="15" hidden="false" customHeight="false" outlineLevel="0" collapsed="false">
      <c r="A24" s="3" t="s">
        <v>154</v>
      </c>
      <c r="B24" s="3" t="s">
        <v>155</v>
      </c>
      <c r="M24" s="18" t="n">
        <v>70000</v>
      </c>
    </row>
    <row r="25" customFormat="false" ht="15" hidden="false" customHeight="false" outlineLevel="0" collapsed="false">
      <c r="A25" s="3" t="s">
        <v>156</v>
      </c>
      <c r="B25" s="3" t="s">
        <v>157</v>
      </c>
      <c r="M25" s="18" t="n">
        <v>50000</v>
      </c>
    </row>
    <row r="26" customFormat="false" ht="15" hidden="false" customHeight="false" outlineLevel="0" collapsed="false">
      <c r="A26" s="3" t="s">
        <v>158</v>
      </c>
      <c r="M26" s="18" t="n">
        <v>7000</v>
      </c>
    </row>
    <row r="27" customFormat="false" ht="15" hidden="false" customHeight="false" outlineLevel="0" collapsed="false">
      <c r="A27" s="3" t="s">
        <v>159</v>
      </c>
      <c r="M27" s="9" t="n">
        <f aca="false">SUM(M24:M26)*Assumptions!$B$34</f>
        <v>27940</v>
      </c>
    </row>
    <row r="28" customFormat="false" ht="15" hidden="false" customHeight="false" outlineLevel="0" collapsed="false">
      <c r="A28" s="2" t="s">
        <v>160</v>
      </c>
      <c r="M28" s="10" t="n">
        <f aca="false">SUM(M24:M27)</f>
        <v>154940</v>
      </c>
    </row>
    <row r="29" customFormat="false" ht="15" hidden="false" customHeight="false" outlineLevel="0" collapsed="false">
      <c r="A29" s="3" t="s">
        <v>161</v>
      </c>
      <c r="M29" s="9" t="n">
        <f aca="false">M20</f>
        <v>118725</v>
      </c>
    </row>
    <row r="30" customFormat="false" ht="15" hidden="false" customHeight="false" outlineLevel="0" collapsed="false">
      <c r="A30" s="3" t="s">
        <v>162</v>
      </c>
      <c r="M30" s="9" t="n">
        <f aca="false">M29*Assumptions!$B$33</f>
        <v>11872.5</v>
      </c>
    </row>
    <row r="31" customFormat="false" ht="15" hidden="false" customHeight="false" outlineLevel="0" collapsed="false">
      <c r="A31" s="2" t="s">
        <v>163</v>
      </c>
      <c r="M31" s="10" t="n">
        <f aca="false">M29*(1+Assumptions!$B$33)</f>
        <v>130597.5</v>
      </c>
    </row>
    <row r="32" customFormat="false" ht="15" hidden="false" customHeight="false" outlineLevel="0" collapsed="false">
      <c r="A32" s="2" t="s">
        <v>164</v>
      </c>
      <c r="M32" s="10" t="n">
        <f aca="false">Labor!$M$28+Labor!$M$31</f>
        <v>285537.5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6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3" t="s">
        <v>166</v>
      </c>
    </row>
    <row r="3" customFormat="false" ht="15" hidden="false" customHeight="false" outlineLevel="0" collapsed="false">
      <c r="A3" s="4" t="s">
        <v>167</v>
      </c>
      <c r="B3" s="5" t="s">
        <v>168</v>
      </c>
      <c r="C3" s="5" t="s">
        <v>169</v>
      </c>
      <c r="D3" s="5" t="s">
        <v>170</v>
      </c>
      <c r="E3" s="5" t="s">
        <v>171</v>
      </c>
    </row>
    <row r="4" customFormat="false" ht="15" hidden="false" customHeight="false" outlineLevel="0" collapsed="false">
      <c r="A4" s="3" t="s">
        <v>172</v>
      </c>
      <c r="B4" s="3" t="s">
        <v>173</v>
      </c>
      <c r="C4" s="24" t="n">
        <v>1800000</v>
      </c>
      <c r="D4" s="18" t="n">
        <v>1800000</v>
      </c>
      <c r="E4" s="3" t="s">
        <v>174</v>
      </c>
    </row>
    <row r="5" customFormat="false" ht="15" hidden="false" customHeight="false" outlineLevel="0" collapsed="false">
      <c r="A5" s="3" t="s">
        <v>172</v>
      </c>
      <c r="B5" s="3" t="s">
        <v>175</v>
      </c>
      <c r="C5" s="24" t="n">
        <v>36000</v>
      </c>
      <c r="D5" s="18" t="n">
        <v>36000</v>
      </c>
      <c r="E5" s="3" t="s">
        <v>176</v>
      </c>
    </row>
    <row r="6" customFormat="false" ht="15" hidden="false" customHeight="false" outlineLevel="0" collapsed="false">
      <c r="A6" s="3" t="s">
        <v>172</v>
      </c>
      <c r="B6" s="3" t="s">
        <v>177</v>
      </c>
      <c r="C6" s="24" t="n">
        <v>8000</v>
      </c>
      <c r="D6" s="18" t="n">
        <v>8000</v>
      </c>
      <c r="E6" s="3" t="s">
        <v>178</v>
      </c>
    </row>
    <row r="7" customFormat="false" ht="15" hidden="false" customHeight="false" outlineLevel="0" collapsed="false">
      <c r="A7" s="3" t="s">
        <v>179</v>
      </c>
      <c r="B7" s="3" t="s">
        <v>180</v>
      </c>
      <c r="C7" s="24" t="n">
        <v>25000</v>
      </c>
      <c r="D7" s="18" t="n">
        <v>25000</v>
      </c>
      <c r="E7" s="3" t="s">
        <v>178</v>
      </c>
    </row>
    <row r="8" customFormat="false" ht="15" hidden="false" customHeight="false" outlineLevel="0" collapsed="false">
      <c r="A8" s="3" t="s">
        <v>181</v>
      </c>
      <c r="B8" s="3" t="s">
        <v>182</v>
      </c>
      <c r="C8" s="24" t="n">
        <v>200000</v>
      </c>
      <c r="D8" s="18" t="n">
        <v>200000</v>
      </c>
      <c r="E8" s="3" t="s">
        <v>183</v>
      </c>
    </row>
    <row r="9" customFormat="false" ht="15" hidden="false" customHeight="false" outlineLevel="0" collapsed="false">
      <c r="A9" s="3" t="s">
        <v>184</v>
      </c>
      <c r="B9" s="3" t="s">
        <v>185</v>
      </c>
      <c r="C9" s="24" t="n">
        <v>100000</v>
      </c>
      <c r="D9" s="18" t="n">
        <v>100000</v>
      </c>
      <c r="E9" s="3" t="s">
        <v>178</v>
      </c>
    </row>
    <row r="10" customFormat="false" ht="15" hidden="false" customHeight="false" outlineLevel="0" collapsed="false">
      <c r="A10" s="3" t="s">
        <v>184</v>
      </c>
      <c r="B10" s="3" t="s">
        <v>186</v>
      </c>
      <c r="C10" s="24" t="n">
        <v>100000</v>
      </c>
      <c r="D10" s="18" t="n">
        <v>100000</v>
      </c>
      <c r="E10" s="3" t="s">
        <v>178</v>
      </c>
    </row>
    <row r="11" customFormat="false" ht="15" hidden="false" customHeight="false" outlineLevel="0" collapsed="false">
      <c r="A11" s="3" t="s">
        <v>184</v>
      </c>
      <c r="B11" s="3" t="s">
        <v>187</v>
      </c>
      <c r="C11" s="24" t="n">
        <v>75000</v>
      </c>
      <c r="D11" s="18" t="n">
        <v>75000</v>
      </c>
      <c r="E11" s="3" t="s">
        <v>178</v>
      </c>
    </row>
    <row r="12" customFormat="false" ht="15" hidden="false" customHeight="false" outlineLevel="0" collapsed="false">
      <c r="A12" s="3" t="s">
        <v>188</v>
      </c>
      <c r="B12" s="3" t="s">
        <v>189</v>
      </c>
      <c r="C12" s="24" t="n">
        <v>175000</v>
      </c>
      <c r="D12" s="18" t="n">
        <v>175000</v>
      </c>
      <c r="E12" s="3" t="s">
        <v>190</v>
      </c>
    </row>
    <row r="13" customFormat="false" ht="15" hidden="false" customHeight="false" outlineLevel="0" collapsed="false">
      <c r="A13" s="3" t="s">
        <v>188</v>
      </c>
      <c r="B13" s="3" t="s">
        <v>191</v>
      </c>
      <c r="C13" s="24" t="n">
        <v>35000</v>
      </c>
      <c r="D13" s="18" t="n">
        <v>35000</v>
      </c>
      <c r="E13" s="3" t="s">
        <v>190</v>
      </c>
    </row>
    <row r="14" customFormat="false" ht="15" hidden="false" customHeight="false" outlineLevel="0" collapsed="false">
      <c r="A14" s="3" t="s">
        <v>188</v>
      </c>
      <c r="B14" s="3" t="s">
        <v>192</v>
      </c>
      <c r="C14" s="24" t="n">
        <v>30000</v>
      </c>
      <c r="D14" s="18" t="n">
        <v>30000</v>
      </c>
      <c r="E14" s="3" t="s">
        <v>190</v>
      </c>
    </row>
    <row r="15" customFormat="false" ht="15" hidden="false" customHeight="false" outlineLevel="0" collapsed="false">
      <c r="A15" s="3" t="s">
        <v>193</v>
      </c>
      <c r="B15" s="3" t="s">
        <v>194</v>
      </c>
      <c r="C15" s="24" t="n">
        <v>75000</v>
      </c>
      <c r="D15" s="18" t="n">
        <v>75000</v>
      </c>
      <c r="E15" s="3" t="s">
        <v>195</v>
      </c>
    </row>
    <row r="16" customFormat="false" ht="15" hidden="false" customHeight="false" outlineLevel="0" collapsed="false">
      <c r="A16" s="3" t="s">
        <v>196</v>
      </c>
      <c r="B16" s="3" t="s">
        <v>197</v>
      </c>
      <c r="C16" s="24" t="n">
        <v>20000</v>
      </c>
      <c r="D16" s="18" t="n">
        <v>20000</v>
      </c>
      <c r="E16" s="3" t="s">
        <v>178</v>
      </c>
    </row>
    <row r="17" customFormat="false" ht="15" hidden="false" customHeight="false" outlineLevel="0" collapsed="false">
      <c r="A17" s="3" t="s">
        <v>196</v>
      </c>
      <c r="B17" s="3" t="s">
        <v>198</v>
      </c>
      <c r="C17" s="24" t="n">
        <v>20000</v>
      </c>
      <c r="D17" s="18" t="n">
        <v>20000</v>
      </c>
      <c r="E17" s="3" t="s">
        <v>178</v>
      </c>
    </row>
    <row r="18" customFormat="false" ht="15" hidden="false" customHeight="false" outlineLevel="0" collapsed="false">
      <c r="A18" s="3" t="s">
        <v>199</v>
      </c>
      <c r="B18" s="3" t="s">
        <v>200</v>
      </c>
      <c r="C18" s="24" t="n">
        <v>20000</v>
      </c>
      <c r="D18" s="18" t="n">
        <v>20000</v>
      </c>
      <c r="E18" s="3" t="s">
        <v>178</v>
      </c>
    </row>
    <row r="19" customFormat="false" ht="15" hidden="false" customHeight="false" outlineLevel="0" collapsed="false">
      <c r="A19" s="3" t="s">
        <v>201</v>
      </c>
      <c r="B19" s="3" t="s">
        <v>202</v>
      </c>
      <c r="C19" s="24" t="n">
        <v>25000</v>
      </c>
      <c r="D19" s="18" t="n">
        <v>25000</v>
      </c>
      <c r="E19" s="3" t="s">
        <v>178</v>
      </c>
    </row>
    <row r="20" customFormat="false" ht="15" hidden="false" customHeight="false" outlineLevel="0" collapsed="false">
      <c r="B20" s="2" t="s">
        <v>203</v>
      </c>
      <c r="C20" s="10" t="n">
        <f aca="false">SUMIFS(C4:C19,$A$4:$A$19,"Acquisition")</f>
        <v>1844000</v>
      </c>
      <c r="D20" s="10" t="n">
        <f aca="false">SUMIFS(D4:D19,$A$4:$A$19,"Acquisition")</f>
        <v>1844000</v>
      </c>
    </row>
    <row r="21" customFormat="false" ht="15" hidden="false" customHeight="false" outlineLevel="0" collapsed="false">
      <c r="B21" s="2" t="s">
        <v>204</v>
      </c>
      <c r="C21" s="12" t="n">
        <f aca="false">SUM(C4:C19)-C20</f>
        <v>900000</v>
      </c>
      <c r="D21" s="12" t="n">
        <f aca="false">SUM(D4:D19)-D20</f>
        <v>900000</v>
      </c>
    </row>
    <row r="22" customFormat="false" ht="15" hidden="false" customHeight="false" outlineLevel="0" collapsed="false">
      <c r="B22" s="3" t="s">
        <v>205</v>
      </c>
      <c r="C22" s="9" t="n">
        <f aca="false">C21*Assumptions!$B$28</f>
        <v>90000</v>
      </c>
      <c r="D22" s="9" t="n">
        <f aca="false">D21*Assumptions!$B$28</f>
        <v>90000</v>
      </c>
    </row>
    <row r="23" customFormat="false" ht="15" hidden="false" customHeight="false" outlineLevel="0" collapsed="false">
      <c r="B23" s="2" t="s">
        <v>206</v>
      </c>
      <c r="C23" s="10" t="n">
        <f aca="false">C20+C21+C22</f>
        <v>2834000</v>
      </c>
      <c r="D23" s="10" t="n">
        <f aca="false">D20+D21+D22</f>
        <v>2834000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207</v>
      </c>
    </row>
    <row r="3" customFormat="false" ht="15" hidden="false" customHeight="false" outlineLevel="0" collapsed="false">
      <c r="A3" s="4" t="s">
        <v>168</v>
      </c>
      <c r="B3" s="5" t="s">
        <v>55</v>
      </c>
      <c r="C3" s="5" t="s">
        <v>171</v>
      </c>
    </row>
    <row r="4" customFormat="false" ht="15" hidden="false" customHeight="false" outlineLevel="0" collapsed="false">
      <c r="A4" s="3" t="s">
        <v>208</v>
      </c>
      <c r="B4" s="8" t="n">
        <f aca="false">Assumptions!$B$29*(Assumptions!$B$30+Assumptions!$B$31)/100</f>
        <v>18293.4</v>
      </c>
      <c r="C4" s="3" t="s">
        <v>209</v>
      </c>
    </row>
    <row r="5" customFormat="false" ht="15" hidden="false" customHeight="false" outlineLevel="0" collapsed="false">
      <c r="A5" s="3" t="s">
        <v>210</v>
      </c>
      <c r="B5" s="18" t="n">
        <v>40000</v>
      </c>
      <c r="C5" s="3" t="s">
        <v>211</v>
      </c>
    </row>
    <row r="6" customFormat="false" ht="15" hidden="false" customHeight="false" outlineLevel="0" collapsed="false">
      <c r="A6" s="3" t="s">
        <v>212</v>
      </c>
      <c r="B6" s="18" t="n">
        <v>36000</v>
      </c>
      <c r="C6" s="3" t="s">
        <v>190</v>
      </c>
    </row>
    <row r="7" customFormat="false" ht="15" hidden="false" customHeight="false" outlineLevel="0" collapsed="false">
      <c r="A7" s="3" t="s">
        <v>213</v>
      </c>
      <c r="B7" s="18" t="n">
        <v>20000</v>
      </c>
      <c r="C7" s="3" t="s">
        <v>214</v>
      </c>
    </row>
    <row r="8" customFormat="false" ht="15" hidden="false" customHeight="false" outlineLevel="0" collapsed="false">
      <c r="A8" s="3" t="s">
        <v>215</v>
      </c>
      <c r="B8" s="18" t="n">
        <v>15000</v>
      </c>
      <c r="C8" s="3" t="s">
        <v>190</v>
      </c>
    </row>
    <row r="9" customFormat="false" ht="15" hidden="false" customHeight="false" outlineLevel="0" collapsed="false">
      <c r="A9" s="3" t="s">
        <v>216</v>
      </c>
      <c r="B9" s="18" t="n">
        <v>7200</v>
      </c>
      <c r="C9" s="3" t="s">
        <v>190</v>
      </c>
    </row>
    <row r="10" customFormat="false" ht="15" hidden="false" customHeight="false" outlineLevel="0" collapsed="false">
      <c r="A10" s="3" t="s">
        <v>217</v>
      </c>
      <c r="B10" s="18" t="n">
        <v>3000</v>
      </c>
      <c r="C10" s="3" t="s">
        <v>218</v>
      </c>
    </row>
    <row r="11" customFormat="false" ht="15" hidden="false" customHeight="false" outlineLevel="0" collapsed="false">
      <c r="A11" s="3" t="s">
        <v>219</v>
      </c>
      <c r="B11" s="18" t="n">
        <v>3500</v>
      </c>
      <c r="C11" s="3" t="s">
        <v>190</v>
      </c>
    </row>
    <row r="12" customFormat="false" ht="15" hidden="false" customHeight="false" outlineLevel="0" collapsed="false">
      <c r="A12" s="3" t="s">
        <v>220</v>
      </c>
      <c r="B12" s="18" t="n">
        <v>9000</v>
      </c>
      <c r="C12" s="3" t="s">
        <v>190</v>
      </c>
    </row>
    <row r="13" customFormat="false" ht="15" hidden="false" customHeight="false" outlineLevel="0" collapsed="false">
      <c r="A13" s="3" t="s">
        <v>221</v>
      </c>
      <c r="B13" s="18" t="n">
        <v>3600</v>
      </c>
      <c r="C13" s="3" t="s">
        <v>190</v>
      </c>
    </row>
    <row r="14" customFormat="false" ht="15" hidden="false" customHeight="false" outlineLevel="0" collapsed="false">
      <c r="A14" s="3" t="s">
        <v>222</v>
      </c>
      <c r="B14" s="18" t="n">
        <v>15000</v>
      </c>
      <c r="C14" s="3" t="s">
        <v>190</v>
      </c>
    </row>
    <row r="15" customFormat="false" ht="15" hidden="false" customHeight="false" outlineLevel="0" collapsed="false">
      <c r="A15" s="3" t="s">
        <v>223</v>
      </c>
      <c r="B15" s="18" t="n">
        <v>8000</v>
      </c>
      <c r="C15" s="3" t="s">
        <v>190</v>
      </c>
    </row>
    <row r="16" customFormat="false" ht="15" hidden="false" customHeight="false" outlineLevel="0" collapsed="false">
      <c r="A16" s="2" t="s">
        <v>224</v>
      </c>
      <c r="B16" s="10" t="n">
        <f aca="false">SUM(B4:B15)</f>
        <v>178593.4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225</v>
      </c>
    </row>
    <row r="3" customFormat="false" ht="15" hidden="false" customHeight="false" outlineLevel="0" collapsed="false">
      <c r="A3" s="3" t="s">
        <v>206</v>
      </c>
      <c r="B3" s="8" t="n">
        <f aca="false">Capex!$C$23</f>
        <v>2834000</v>
      </c>
    </row>
    <row r="4" customFormat="false" ht="15" hidden="false" customHeight="false" outlineLevel="0" collapsed="false">
      <c r="A4" s="3" t="s">
        <v>226</v>
      </c>
      <c r="B4" s="15" t="n">
        <f aca="false">Assumptions!$B$35</f>
        <v>0.7</v>
      </c>
    </row>
    <row r="5" customFormat="false" ht="15" hidden="false" customHeight="false" outlineLevel="0" collapsed="false">
      <c r="A5" s="3" t="s">
        <v>227</v>
      </c>
      <c r="B5" s="9" t="n">
        <f aca="false">B3*B4</f>
        <v>1983800</v>
      </c>
    </row>
    <row r="6" customFormat="false" ht="15" hidden="false" customHeight="false" outlineLevel="0" collapsed="false">
      <c r="A6" s="3" t="s">
        <v>228</v>
      </c>
      <c r="B6" s="9" t="n">
        <f aca="false">B3-B5</f>
        <v>850200</v>
      </c>
    </row>
    <row r="7" customFormat="false" ht="15" hidden="false" customHeight="false" outlineLevel="0" collapsed="false">
      <c r="A7" s="3" t="s">
        <v>119</v>
      </c>
      <c r="B7" s="29" t="n">
        <f aca="false">Assumptions!$B$36</f>
        <v>0.0725</v>
      </c>
    </row>
    <row r="8" customFormat="false" ht="15" hidden="false" customHeight="false" outlineLevel="0" collapsed="false">
      <c r="A8" s="3" t="s">
        <v>229</v>
      </c>
      <c r="B8" s="6" t="n">
        <f aca="false">Assumptions!$B$37</f>
        <v>25</v>
      </c>
    </row>
    <row r="9" customFormat="false" ht="15" hidden="false" customHeight="false" outlineLevel="0" collapsed="false">
      <c r="A9" s="2" t="s">
        <v>230</v>
      </c>
      <c r="B9" s="12" t="n">
        <f aca="false">-PMT(B7/12,B8*12,B5)*12</f>
        <v>172068.510839515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2026-10-13T19:27:44Z</dcterms:created>
  <dc:creator>openpyxl</dc:creator>
  <dc:description/>
  <dc:language>en-US</dc:language>
  <cp:lastModifiedBy/>
  <dcterms:modified xsi:type="dcterms:W3CDTF">2026-10-13T19:27:44Z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