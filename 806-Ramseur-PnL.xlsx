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&amp;L" sheetId="2" state="visible" r:id="rId4"/>
    <sheet name="Assumptions" sheetId="3" state="visible" r:id="rId5"/>
    <sheet name="Labor" sheetId="4" state="visible" r:id="rId6"/>
    <sheet name="Capex" sheetId="5" state="visible" r:id="rId7"/>
    <sheet name="Opex" sheetId="6" state="visible" r:id="rId8"/>
    <sheet name="Financ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<sst xmlns="http://schemas.openxmlformats.org/spreadsheetml/2006/main" count="304" uniqueCount="233">
  <si>
    <t xml:space="preserve">806 E Ramseur Mini Golf + Bar — P&amp;L model</t>
  </si>
  <si>
    <t xml:space="preserve">How to use</t>
  </si>
  <si>
    <t xml:space="preserve">1. Edit inputs on the Assumptions sheet. Blue text = input. Yellow fill = key lever.</t>
  </si>
  <si>
    <t xml:space="preserve">2. The period table (Assumptions!D8:I15) matches the Revenue Estimates web page. 'Copy period table for Excel' on that page pastes into D8.</t>
  </si>
  <si>
    <t xml:space="preserve">3. Set gross margin per revenue line in Assumptions!B19:B23.</t>
  </si>
  <si>
    <t xml:space="preserve">4. Staffing per daypart is on the Labor sheet; hours follow the days and daypart hours on Assumptions.</t>
  </si>
  <si>
    <t xml:space="preserve">5. Black text = formula, green = link from another sheet. Don't type over black cells.</t>
  </si>
  <si>
    <t xml:space="preserve">Schedule</t>
  </si>
  <si>
    <t xml:space="preserve">Closed Mon-Tue. Weekdays = Wed-Fri, weekends = Sat-Sun. Afternoon 12-5 pm (5 hrs), evening 5-11 pm (6 hrs).</t>
  </si>
  <si>
    <t xml:space="preserve">Summer = Apr 1 - Nov 30, winter = Dec 1 - Mar 31. Default day counts use calendar 2027; holidays not removed.</t>
  </si>
  <si>
    <t xml:space="preserve">Sheets</t>
  </si>
  <si>
    <t xml:space="preserve">P&amp;L — stabilized year split summer / winter / full year, plus a 5-year projection with ramp-up.</t>
  </si>
  <si>
    <t xml:space="preserve">Assumptions — schedule, players and spend by period, gross margins, cost and finance inputs.</t>
  </si>
  <si>
    <t xml:space="preserve">Labor — people on shift by daypart, hours, wages. Capex — one-time costs. Opex — fixed annual costs. Financing — loan and equity.</t>
  </si>
  <si>
    <t xml:space="preserve">Excludes depreciation, interest/principal split and income taxes. Planning estimates, not quotes.</t>
  </si>
  <si>
    <t xml:space="preserve">P&amp;L — stabilized year ($)</t>
  </si>
  <si>
    <t xml:space="preserve">Summer = Apr-Nov (8 months), winter = Dec-Mar (4 months). Fixed costs, salaries, events and debt split by months; hourly labor by open hours.</t>
  </si>
  <si>
    <t xml:space="preserve">Line</t>
  </si>
  <si>
    <t xml:space="preserve">Summer</t>
  </si>
  <si>
    <t xml:space="preserve">Winter</t>
  </si>
  <si>
    <t xml:space="preserve">Full year</t>
  </si>
  <si>
    <t xml:space="preserve">Rounds played</t>
  </si>
  <si>
    <t xml:space="preserve">Open hours</t>
  </si>
  <si>
    <t xml:space="preserve">Revenue</t>
  </si>
  <si>
    <t xml:space="preserve">Golf</t>
  </si>
  <si>
    <t xml:space="preserve">Food</t>
  </si>
  <si>
    <t xml:space="preserve">Ice cream</t>
  </si>
  <si>
    <t xml:space="preserve">Bar</t>
  </si>
  <si>
    <t xml:space="preserve">Private events</t>
  </si>
  <si>
    <t xml:space="preserve">Total revenue</t>
  </si>
  <si>
    <t xml:space="preserve">Gross profit by line</t>
  </si>
  <si>
    <t xml:space="preserve">Golf gross profit</t>
  </si>
  <si>
    <t xml:space="preserve">Food gross profit</t>
  </si>
  <si>
    <t xml:space="preserve">Ice cream gross profit</t>
  </si>
  <si>
    <t xml:space="preserve">Bar gross profit</t>
  </si>
  <si>
    <t xml:space="preserve">Private events gross profit</t>
  </si>
  <si>
    <t xml:space="preserve">Total gross profit</t>
  </si>
  <si>
    <t xml:space="preserve">Gross margin</t>
  </si>
  <si>
    <t xml:space="preserve">Operating costs</t>
  </si>
  <si>
    <t xml:space="preserve">Hourly labor (by open hours)</t>
  </si>
  <si>
    <t xml:space="preserve">Salaried labor</t>
  </si>
  <si>
    <t xml:space="preserve">Fixed opex</t>
  </si>
  <si>
    <t xml:space="preserve">Card processing</t>
  </si>
  <si>
    <t xml:space="preserve">Marketing</t>
  </si>
  <si>
    <t xml:space="preserve">Total operating costs</t>
  </si>
  <si>
    <t xml:space="preserve">EBITDA</t>
  </si>
  <si>
    <t xml:space="preserve">EBITDA margin</t>
  </si>
  <si>
    <t xml:space="preserve">Debt service</t>
  </si>
  <si>
    <t xml:space="preserve">Cash flow after debt</t>
  </si>
  <si>
    <t xml:space="preserve">Full-year checks</t>
  </si>
  <si>
    <t xml:space="preserve">Labor % of revenue</t>
  </si>
  <si>
    <t xml:space="preserve">Revenue per round</t>
  </si>
  <si>
    <t xml:space="preserve">Debt service coverage (EBITDA / debt service)</t>
  </si>
  <si>
    <t xml:space="preserve">Cash-on-cash return on equity</t>
  </si>
  <si>
    <t xml:space="preserve">5-year projection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</si>
  <si>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</si>
  <si>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</si>
  <si>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</si>
  <si>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</si>
  <si>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</si>
  <si>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Volume vs. stabilized</t>
  </si>
  <si>
    <t xml:space="preserve">Gross profit</t>
  </si>
  <si>
    <t xml:space="preserve">Labor</t>
  </si>
  <si>
    <t xml:space="preserve">Card + marketing</t>
  </si>
  <si>
    <t xml:space="preserve">Cumulative cash flow</t>
  </si>
  <si>
    <t xml:space="preserve">Equity left to recover</t>
  </si>
  <si>
    <t xml:space="preserve">Excludes depreciation and income taxes. Labor held at full schedule from year 1.</t>
  </si>
  <si>
    <t xml:space="preserve">Assumptions</t>
  </si>
  <si>
    <t xml:space="preserve">Golf price per round</t>
  </si>
  <si>
    <t xml:space="preserve">One price for all periods</t>
  </si>
  <si>
    <t xml:space="preserve">Private events per year</t>
  </si>
  <si>
    <t xml:space="preserve">Birthdays, buyouts</t>
  </si>
  <si>
    <t xml:space="preserve">Average event package</t>
  </si>
  <si>
    <t xml:space="preserve">Revenue split 8/12 summer, 4/12 winter on P&amp;L</t>
  </si>
  <si>
    <t xml:space="preserve">Season</t>
  </si>
  <si>
    <t xml:space="preserve">Day type</t>
  </si>
  <si>
    <t xml:space="preserve">Daypart</t>
  </si>
  <si>
    <t xml:space="preserve">Days / yr</t>
  </si>
  <si>
    <t xml:space="preserve">Hours / daypart</t>
  </si>
  <si>
    <t xml:space="preserve">Players / day</t>
  </si>
  <si>
    <t xml:space="preserve">Food $ / player</t>
  </si>
  <si>
    <t xml:space="preserve">Ice cream $ / player</t>
  </si>
  <si>
    <t xml:space="preserve">Bar $ / player</t>
  </si>
  <si>
    <t xml:space="preserve">Rounds / yr</t>
  </si>
  <si>
    <t xml:space="preserve">Revenue / yr</t>
  </si>
  <si>
    <t xml:space="preserve">Weekday (Wed-Fri)</t>
  </si>
  <si>
    <t xml:space="preserve">Afternoon 12-5 pm</t>
  </si>
  <si>
    <t xml:space="preserve">Evening 5-11 pm</t>
  </si>
  <si>
    <t xml:space="preserve">Weekend (Sat-Sun)</t>
  </si>
  <si>
    <t xml:space="preserve">Total</t>
  </si>
  <si>
    <t xml:space="preserve">Day counts: calendar 2027, closed Mon-Tue. Players are per daypart per day.</t>
  </si>
  <si>
    <t xml:space="preserve">Revenue line</t>
  </si>
  <si>
    <t xml:space="preserve">Note</t>
  </si>
  <si>
    <t xml:space="preserve">Course upkeep sits in fixed costs; Puttshack cites ~95% on mini golf</t>
  </si>
  <si>
    <t xml:space="preserve">Food trucks keep their sales; 15% = our commission. Use ~65% if we run food ourselves</t>
  </si>
  <si>
    <t xml:space="preserve">~30% product cost</t>
  </si>
  <si>
    <t xml:space="preserve">~24% pour cost</t>
  </si>
  <si>
    <t xml:space="preserve">Food + drink in packages</t>
  </si>
  <si>
    <t xml:space="preserve">Cost and finance input</t>
  </si>
  <si>
    <t xml:space="preserve">Value</t>
  </si>
  <si>
    <t xml:space="preserve">Unit / note</t>
  </si>
  <si>
    <t xml:space="preserve">% of non-food sales (trucks process their own)</t>
  </si>
  <si>
    <t xml:space="preserve">% of total sales</t>
  </si>
  <si>
    <t xml:space="preserve">Capex contingency</t>
  </si>
  <si>
    <t xml:space="preserve">% of non-acquisition capex</t>
  </si>
  <si>
    <t xml:space="preserve">Assessed value for property tax</t>
  </si>
  <si>
    <t xml:space="preserve">Assumes assessed = purchase price</t>
  </si>
  <si>
    <t xml:space="preserve">Durham County tax rate</t>
  </si>
  <si>
    <t xml:space="preserve">$ per $100; FY2026-27 adopted (dconc.gov, June 2026)</t>
  </si>
  <si>
    <t xml:space="preserve">City of Durham tax rate</t>
  </si>
  <si>
    <t xml:space="preserve">$ per $100; FY2025-26 proposed (durhamnc.gov); verify adopted</t>
  </si>
  <si>
    <t xml:space="preserve">Weeks per year</t>
  </si>
  <si>
    <t xml:space="preserve">For maintenance hours</t>
  </si>
  <si>
    <t xml:space="preserve">Hourly payroll burden</t>
  </si>
  <si>
    <t xml:space="preserve">FICA + unemployment</t>
  </si>
  <si>
    <t xml:space="preserve">Salaried burden incl. benefits</t>
  </si>
  <si>
    <t xml:space="preserve">FICA + unemployment + health</t>
  </si>
  <si>
    <t xml:space="preserve">Debt as % of total project</t>
  </si>
  <si>
    <t xml:space="preserve">SBA 504/7(a) can go higher</t>
  </si>
  <si>
    <t xml:space="preserve">Interest rate</t>
  </si>
  <si>
    <t xml:space="preserve">per year</t>
  </si>
  <si>
    <t xml:space="preserve">Amortization</t>
  </si>
  <si>
    <t xml:space="preserve">years</t>
  </si>
  <si>
    <t xml:space="preserve">Cost inflation (years 2-5)</t>
  </si>
  <si>
    <t xml:space="preserve">Year 1 volume vs. stabilized</t>
  </si>
  <si>
    <t xml:space="preserve">Ramp-up to maturity</t>
  </si>
  <si>
    <t xml:space="preserve">Year 2 volume vs. stabilized</t>
  </si>
  <si>
    <t xml:space="preserve">Year 3 volume vs. stabilized</t>
  </si>
  <si>
    <t xml:space="preserve">Year 4 volume vs. stabilized</t>
  </si>
  <si>
    <t xml:space="preserve">Year 5 volume vs. stabilized</t>
  </si>
  <si>
    <t xml:space="preserve">Labor — tied to the operating schedule on Assumptions</t>
  </si>
  <si>
    <t xml:space="preserve">Hourly role</t>
  </si>
  <si>
    <t xml:space="preserve">Wkday aft</t>
  </si>
  <si>
    <t xml:space="preserve">Wkday eve</t>
  </si>
  <si>
    <t xml:space="preserve">Wkend aft</t>
  </si>
  <si>
    <t xml:space="preserve">Wkend eve</t>
  </si>
  <si>
    <t xml:space="preserve">Hours / yr</t>
  </si>
  <si>
    <t xml:space="preserve">Rate</t>
  </si>
  <si>
    <t xml:space="preserve">Annual wages</t>
  </si>
  <si>
    <t xml:space="preserve">People on shift per daypart (same in summer and winter)</t>
  </si>
  <si>
    <t xml:space="preserve">Course host / cashier</t>
  </si>
  <si>
    <t xml:space="preserve">Check-in, putters, course flow</t>
  </si>
  <si>
    <t xml:space="preserve">Bartender</t>
  </si>
  <si>
    <t xml:space="preserve">Base wage above NC tipped minimum ($2.13); tips on top</t>
  </si>
  <si>
    <t xml:space="preserve">Ice cream attendant</t>
  </si>
  <si>
    <t xml:space="preserve">Afternoon-heavy</t>
  </si>
  <si>
    <t xml:space="preserve">Barback / porter</t>
  </si>
  <si>
    <t xml:space="preserve">Cleaning, restocking, glassware</t>
  </si>
  <si>
    <t xml:space="preserve">Door / security</t>
  </si>
  <si>
    <t xml:space="preserve">ID checks, closing on weekend nights</t>
  </si>
  <si>
    <t xml:space="preserve">Open / close crew</t>
  </si>
  <si>
    <t xml:space="preserve">B = staff, C = hours each per open day</t>
  </si>
  <si>
    <t xml:space="preserve">Maintenance tech (part-time)</t>
  </si>
  <si>
    <t xml:space="preserve">B = hours per week, off-hours</t>
  </si>
  <si>
    <t xml:space="preserve">Hourly wages</t>
  </si>
  <si>
    <t xml:space="preserve">Hourly payroll taxes</t>
  </si>
  <si>
    <t xml:space="preserve">Hourly total, loaded</t>
  </si>
  <si>
    <t xml:space="preserve">Salaried role</t>
  </si>
  <si>
    <t xml:space="preserve">Annual</t>
  </si>
  <si>
    <t xml:space="preserve">General Manager</t>
  </si>
  <si>
    <t xml:space="preserve">Recommended band $65k-$75k + up to 10% bonus</t>
  </si>
  <si>
    <t xml:space="preserve">Assistant GM / Bar Manager</t>
  </si>
  <si>
    <t xml:space="preserve">Durham bar manager postings ~$38k-$67k</t>
  </si>
  <si>
    <t xml:space="preserve">GM performance bonus (target)</t>
  </si>
  <si>
    <t xml:space="preserve">Salaried total, loaded</t>
  </si>
  <si>
    <t xml:space="preserve">Total labor, loaded</t>
  </si>
  <si>
    <t xml:space="preserve">Bartender rate is base wage above NC's $2.13 tipped minimum; tips not modeled. Friday counts as a weekday.</t>
  </si>
  <si>
    <t xml:space="preserve">Initial capex</t>
  </si>
  <si>
    <t xml:space="preserve">Enter your amount in column C. Column D keeps the default estimate for reference.</t>
  </si>
  <si>
    <t xml:space="preserve">Category</t>
  </si>
  <si>
    <t xml:space="preserve">Item</t>
  </si>
  <si>
    <t xml:space="preserve">Your amount</t>
  </si>
  <si>
    <t xml:space="preserve">Default estimate</t>
  </si>
  <si>
    <t xml:space="preserve">Basis</t>
  </si>
  <si>
    <t xml:space="preserve">Acquisition</t>
  </si>
  <si>
    <t xml:space="preserve">Purchase price</t>
  </si>
  <si>
    <t xml:space="preserve">Owner target; broker asking $2.2M ($176/SF)</t>
  </si>
  <si>
    <t xml:space="preserve">Closing costs (~2%)</t>
  </si>
  <si>
    <t xml:space="preserve">Legal, title, recording, lender fees</t>
  </si>
  <si>
    <t xml:space="preserve">Due diligence: Phase I ESA, survey, inspection, zoning letter</t>
  </si>
  <si>
    <t xml:space="preserve">Owner estimate</t>
  </si>
  <si>
    <t xml:space="preserve">Soft costs</t>
  </si>
  <si>
    <t xml:space="preserve">Architecture, engineering, permit fees</t>
  </si>
  <si>
    <t xml:space="preserve">Building</t>
  </si>
  <si>
    <t xml:space="preserve">Building upfit: change-of-use code work, sprinklers, egress, restrooms</t>
  </si>
  <si>
    <t xml:space="preserve">Owner estimate; see Issues</t>
  </si>
  <si>
    <t xml:space="preserve">Course</t>
  </si>
  <si>
    <t xml:space="preserve">9 covered holes inside building</t>
  </si>
  <si>
    <t xml:space="preserve">9 outdoor holes in yard</t>
  </si>
  <si>
    <t xml:space="preserve">Outdoor site work, drainage, lighting</t>
  </si>
  <si>
    <t xml:space="preserve">Bar + food</t>
  </si>
  <si>
    <t xml:space="preserve">Bar build-out: bar, coolers, draft, ice machine, POS</t>
  </si>
  <si>
    <t xml:space="preserve">Estimate</t>
  </si>
  <si>
    <t xml:space="preserve">Ice cream stand: dipping cabinet, freezers, window, sink</t>
  </si>
  <si>
    <t xml:space="preserve">Food truck court: power pedestals, pad, grease/trash area</t>
  </si>
  <si>
    <t xml:space="preserve">Security</t>
  </si>
  <si>
    <t xml:space="preserve">Perimeter security: fence, gates, cameras</t>
  </si>
  <si>
    <t xml:space="preserve">Owner estimate; fence options below</t>
  </si>
  <si>
    <t xml:space="preserve">Site</t>
  </si>
  <si>
    <t xml:space="preserve">Signage and branding</t>
  </si>
  <si>
    <t xml:space="preserve">Patio and outdoor equipment</t>
  </si>
  <si>
    <t xml:space="preserve">Equipment</t>
  </si>
  <si>
    <t xml:space="preserve">Putters, balls, bar smallwares</t>
  </si>
  <si>
    <t xml:space="preserve">Opening</t>
  </si>
  <si>
    <t xml:space="preserve">Pre-opening: hiring, training, launch marketing, ABC permits</t>
  </si>
  <si>
    <t xml:space="preserve">Subtotal: acquisition</t>
  </si>
  <si>
    <t xml:space="preserve">Subtotal: build-out and opening</t>
  </si>
  <si>
    <t xml:space="preserve">Contingency (% on Assumptions)</t>
  </si>
  <si>
    <t xml:space="preserve">Total project cost</t>
  </si>
  <si>
    <t xml:space="preserve">Fixed annual operating costs (year 1)</t>
  </si>
  <si>
    <t xml:space="preserve">Property tax</t>
  </si>
  <si>
    <t xml:space="preserve">Assessed value assumed = $1.8M; county 57.92c + city 43.71c per $100</t>
  </si>
  <si>
    <t xml:space="preserve">Insurance: GL, liquor liability, property, umbrella</t>
  </si>
  <si>
    <t xml:space="preserve">Estimate; one NC bar operator reports under $20k for a location</t>
  </si>
  <si>
    <t xml:space="preserve">Utilities (no HVAC; coolers, fans, lighting, water)</t>
  </si>
  <si>
    <t xml:space="preserve">Building repairs + maintenance</t>
  </si>
  <si>
    <t xml:space="preserve">Estimate; 1948 Class C building</t>
  </si>
  <si>
    <t xml:space="preserve">Course + turf maintenance</t>
  </si>
  <si>
    <t xml:space="preserve">POS, booking, software</t>
  </si>
  <si>
    <t xml:space="preserve">ABC permits + local licenses (renewals)</t>
  </si>
  <si>
    <t xml:space="preserve">Mixed beverages $1,000; malt $400; wine $400; local</t>
  </si>
  <si>
    <t xml:space="preserve">Music licensing (ASCAP/BMI/SESAC)</t>
  </si>
  <si>
    <t xml:space="preserve">Trash, recycling, pest control</t>
  </si>
  <si>
    <t xml:space="preserve">Alarm + camera monitoring</t>
  </si>
  <si>
    <t xml:space="preserve">Accounting + legal</t>
  </si>
  <si>
    <t xml:space="preserve">Operating supplies (balls, putters, scorecards)</t>
  </si>
  <si>
    <t xml:space="preserve">Total fixed opex</t>
  </si>
  <si>
    <t xml:space="preserve">Financing</t>
  </si>
  <si>
    <t xml:space="preserve">Debt %</t>
  </si>
  <si>
    <t xml:space="preserve">Loan amount</t>
  </si>
  <si>
    <t xml:space="preserve">Equity required</t>
  </si>
  <si>
    <t xml:space="preserve">Amortization (years)</t>
  </si>
  <si>
    <t xml:space="preserve">Annual debt service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</si>
</sst>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\$#,##0.00;&quot;($&quot;#,##0.00\);\-"/>
    <numFmt numFmtId="169" formatCode="0.00\x"/>
    <numFmt numFmtId="170" formatCode="0.0000"/>
    <numFmt numFmtId="171" formatCode="0.00%"/>
    <numFmt numFmtId="172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7448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B7448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3" t="s">
        <v>16</v>
      </c>
    </row>
    <row r="3" customFormat="false" ht="15" hidden="false" customHeight="false" outlineLevel="0" collapsed="false">
      <c r="A3" s="4" t="s">
        <v>17</v>
      </c>
      <c r="B3" s="5" t="s">
        <v>18</v>
      </c>
      <c r="C3" s="5" t="s">
        <v>19</v>
      </c>
      <c r="D3" s="5" t="s">
        <v>20</v>
      </c>
    </row>
    <row r="4" customFormat="false" ht="15" hidden="false" customHeight="false" outlineLevel="0" collapsed="false">
      <c r="A4" s="3" t="s">
        <v>21</v>
      </c>
      <c r="B4" s="6" t="n">
        <f aca="false">SUM(Assumptions!$J$8:$J$11)</f>
        <v>31740</v>
      </c>
      <c r="C4" s="6" t="n">
        <f aca="false">SUM(Assumptions!$J$12:$J$15)</f>
        <v>7410</v>
      </c>
      <c r="D4" s="7" t="n">
        <f aca="false">B4+C4</f>
        <v>39150</v>
      </c>
    </row>
    <row r="5" customFormat="false" ht="15" hidden="false" customHeight="false" outlineLevel="0" collapsed="false">
      <c r="A5" s="3" t="s">
        <v>22</v>
      </c>
      <c r="B5" s="6" t="n">
        <f aca="false">SUMPRODUCT(Assumptions!$D$8:$D$11,Assumptions!$E$8:$E$11)</f>
        <v>1914</v>
      </c>
      <c r="C5" s="6" t="n">
        <f aca="false">SUMPRODUCT(Assumptions!$D$12:$D$15,Assumptions!$E$12:$E$15)</f>
        <v>957</v>
      </c>
      <c r="D5" s="7" t="n">
        <f aca="false">B5+C5</f>
        <v>2871</v>
      </c>
    </row>
    <row r="7" customFormat="false" ht="15" hidden="false" customHeight="false" outlineLevel="0" collapsed="false">
      <c r="A7" s="2" t="s">
        <v>23</v>
      </c>
    </row>
    <row r="8" customFormat="false" ht="15" hidden="false" customHeight="false" outlineLevel="0" collapsed="false">
      <c r="A8" s="3" t="s">
        <v>24</v>
      </c>
      <c r="B8" s="8" t="n">
        <f aca="false">SUM(Assumptions!$J$8:$J$11)*Assumptions!$B$3</f>
        <v>380880</v>
      </c>
      <c r="C8" s="8" t="n">
        <f aca="false">SUM(Assumptions!$J$12:$J$15)*Assumptions!$B$3</f>
        <v>88920</v>
      </c>
      <c r="D8" s="9" t="n">
        <f aca="false">B8+C8</f>
        <v>469800</v>
      </c>
    </row>
    <row r="9" customFormat="false" ht="15" hidden="false" customHeight="false" outlineLevel="0" collapsed="false">
      <c r="A9" s="3" t="s">
        <v>25</v>
      </c>
      <c r="B9" s="8" t="n">
        <f aca="false">SUMPRODUCT(Assumptions!$J$8:$J$11,Assumptions!$G$8:$G$11)</f>
        <v>226000</v>
      </c>
      <c r="C9" s="8" t="n">
        <f aca="false">SUMPRODUCT(Assumptions!$J$12:$J$15,Assumptions!$G$12:$G$15)</f>
        <v>53610</v>
      </c>
      <c r="D9" s="9" t="n">
        <f aca="false">B9+C9</f>
        <v>279610</v>
      </c>
    </row>
    <row r="10" customFormat="false" ht="15" hidden="false" customHeight="false" outlineLevel="0" collapsed="false">
      <c r="A10" s="3" t="s">
        <v>26</v>
      </c>
      <c r="B10" s="8" t="n">
        <f aca="false">SUMPRODUCT(Assumptions!$J$8:$J$11,Assumptions!$H$8:$H$11)</f>
        <v>73620</v>
      </c>
      <c r="C10" s="8" t="n">
        <f aca="false">SUMPRODUCT(Assumptions!$J$12:$J$15,Assumptions!$H$12:$H$15)</f>
        <v>10245</v>
      </c>
      <c r="D10" s="9" t="n">
        <f aca="false">B10+C10</f>
        <v>83865</v>
      </c>
    </row>
    <row r="11" customFormat="false" ht="15" hidden="false" customHeight="false" outlineLevel="0" collapsed="false">
      <c r="A11" s="3" t="s">
        <v>27</v>
      </c>
      <c r="B11" s="8" t="n">
        <f aca="false">SUMPRODUCT(Assumptions!$J$8:$J$11,Assumptions!$I$8:$I$11)</f>
        <v>326360</v>
      </c>
      <c r="C11" s="8" t="n">
        <f aca="false">SUMPRODUCT(Assumptions!$J$12:$J$15,Assumptions!$I$12:$I$15)</f>
        <v>81705</v>
      </c>
      <c r="D11" s="9" t="n">
        <f aca="false">B11+C11</f>
        <v>408065</v>
      </c>
    </row>
    <row r="12" customFormat="false" ht="15" hidden="false" customHeight="false" outlineLevel="0" collapsed="false">
      <c r="A12" s="3" t="s">
        <v>28</v>
      </c>
      <c r="B12" s="8" t="n">
        <f aca="false">Assumptions!$B$4*Assumptions!$B$5*8/12</f>
        <v>60000</v>
      </c>
      <c r="C12" s="8" t="n">
        <f aca="false">Assumptions!$B$4*Assumptions!$B$5*4/12</f>
        <v>30000</v>
      </c>
      <c r="D12" s="9" t="n">
        <f aca="false">B12+C12</f>
        <v>90000</v>
      </c>
    </row>
    <row r="13" customFormat="false" ht="15" hidden="false" customHeight="false" outlineLevel="0" collapsed="false">
      <c r="A13" s="2" t="s">
        <v>29</v>
      </c>
      <c r="B13" s="10" t="n">
        <f aca="false">SUM(B8:B12)</f>
        <v>1066860</v>
      </c>
      <c r="C13" s="10" t="n">
        <f aca="false">SUM(C8:C12)</f>
        <v>264480</v>
      </c>
      <c r="D13" s="10" t="n">
        <f aca="false">B13+C13</f>
        <v>1331340</v>
      </c>
    </row>
    <row r="15" customFormat="false" ht="15" hidden="false" customHeight="false" outlineLevel="0" collapsed="false">
      <c r="A15" s="2" t="s">
        <v>30</v>
      </c>
    </row>
    <row r="16" customFormat="false" ht="15" hidden="false" customHeight="false" outlineLevel="0" collapsed="false">
      <c r="A16" s="3" t="s">
        <v>31</v>
      </c>
      <c r="B16" s="9" t="n">
        <f aca="false">B8*Assumptions!$B$19</f>
        <v>361836</v>
      </c>
      <c r="C16" s="9" t="n">
        <f aca="false">C8*Assumptions!$B$19</f>
        <v>84474</v>
      </c>
      <c r="D16" s="9" t="n">
        <f aca="false">B16+C16</f>
        <v>446310</v>
      </c>
    </row>
    <row r="17" customFormat="false" ht="15" hidden="false" customHeight="false" outlineLevel="0" collapsed="false">
      <c r="A17" s="3" t="s">
        <v>32</v>
      </c>
      <c r="B17" s="9" t="n">
        <f aca="false">B9*Assumptions!$B$20</f>
        <v>33900</v>
      </c>
      <c r="C17" s="9" t="n">
        <f aca="false">C9*Assumptions!$B$20</f>
        <v>8041.5</v>
      </c>
      <c r="D17" s="9" t="n">
        <f aca="false">B17+C17</f>
        <v>41941.5</v>
      </c>
    </row>
    <row r="18" customFormat="false" ht="15" hidden="false" customHeight="false" outlineLevel="0" collapsed="false">
      <c r="A18" s="3" t="s">
        <v>33</v>
      </c>
      <c r="B18" s="9" t="n">
        <f aca="false">B10*Assumptions!$B$21</f>
        <v>51534</v>
      </c>
      <c r="C18" s="9" t="n">
        <f aca="false">C10*Assumptions!$B$21</f>
        <v>7171.5</v>
      </c>
      <c r="D18" s="9" t="n">
        <f aca="false">B18+C18</f>
        <v>58705.5</v>
      </c>
    </row>
    <row r="19" customFormat="false" ht="15" hidden="false" customHeight="false" outlineLevel="0" collapsed="false">
      <c r="A19" s="3" t="s">
        <v>34</v>
      </c>
      <c r="B19" s="9" t="n">
        <f aca="false">B11*Assumptions!$B$22</f>
        <v>248033.6</v>
      </c>
      <c r="C19" s="9" t="n">
        <f aca="false">C11*Assumptions!$B$22</f>
        <v>62095.8</v>
      </c>
      <c r="D19" s="9" t="n">
        <f aca="false">B19+C19</f>
        <v>310129.4</v>
      </c>
    </row>
    <row r="20" customFormat="false" ht="15" hidden="false" customHeight="false" outlineLevel="0" collapsed="false">
      <c r="A20" s="3" t="s">
        <v>35</v>
      </c>
      <c r="B20" s="9" t="n">
        <f aca="false">B12*Assumptions!$B$23</f>
        <v>45000</v>
      </c>
      <c r="C20" s="9" t="n">
        <f aca="false">C12*Assumptions!$B$23</f>
        <v>22500</v>
      </c>
      <c r="D20" s="9" t="n">
        <f aca="false">B20+C20</f>
        <v>67500</v>
      </c>
    </row>
    <row r="21" customFormat="false" ht="15" hidden="false" customHeight="false" outlineLevel="0" collapsed="false">
      <c r="A21" s="2" t="s">
        <v>36</v>
      </c>
      <c r="B21" s="10" t="n">
        <f aca="false">SUM(B16:B20)</f>
        <v>740303.6</v>
      </c>
      <c r="C21" s="10" t="n">
        <f aca="false">SUM(C16:C20)</f>
        <v>184282.8</v>
      </c>
      <c r="D21" s="10" t="n">
        <f aca="false">B21+C21</f>
        <v>924586.4</v>
      </c>
    </row>
    <row r="22" customFormat="false" ht="15" hidden="false" customHeight="false" outlineLevel="0" collapsed="false">
      <c r="A22" s="3" t="s">
        <v>37</v>
      </c>
      <c r="B22" s="11" t="n">
        <f aca="false">IF(B13=0,0,B21/B13)</f>
        <v>0.693908854020209</v>
      </c>
      <c r="C22" s="11" t="n">
        <f aca="false">IF(C13=0,0,C21/C13)</f>
        <v>0.696774047186933</v>
      </c>
      <c r="D22" s="11" t="n">
        <f aca="false">IF(D13=0,0,D21/D13)</f>
        <v>0.694478044676792</v>
      </c>
    </row>
    <row r="24" customFormat="false" ht="15" hidden="false" customHeight="false" outlineLevel="0" collapsed="false">
      <c r="A24" s="2" t="s">
        <v>38</v>
      </c>
    </row>
    <row r="25" customFormat="false" ht="15" hidden="false" customHeight="false" outlineLevel="0" collapsed="false">
      <c r="A25" s="3" t="s">
        <v>39</v>
      </c>
      <c r="B25" s="8" t="n">
        <f aca="false">Labor!$H$14*B5/$D$5</f>
        <v>171861.066666667</v>
      </c>
      <c r="C25" s="8" t="n">
        <f aca="false">Labor!$H$14*C5/$D$5</f>
        <v>85930.5333333334</v>
      </c>
      <c r="D25" s="9" t="n">
        <f aca="false">B25+C25</f>
        <v>257791.6</v>
      </c>
    </row>
    <row r="26" customFormat="false" ht="15" hidden="false" customHeight="false" outlineLevel="0" collapsed="false">
      <c r="A26" s="3" t="s">
        <v>40</v>
      </c>
      <c r="B26" s="8" t="n">
        <f aca="false">Labor!$H$20*8/12</f>
        <v>103293.333333333</v>
      </c>
      <c r="C26" s="8" t="n">
        <f aca="false">Labor!$H$20*4/12</f>
        <v>51646.6666666667</v>
      </c>
      <c r="D26" s="9" t="n">
        <f aca="false">B26+C26</f>
        <v>154940</v>
      </c>
    </row>
    <row r="27" customFormat="false" ht="15" hidden="false" customHeight="false" outlineLevel="0" collapsed="false">
      <c r="A27" s="3" t="s">
        <v>41</v>
      </c>
      <c r="B27" s="8" t="n">
        <f aca="false">Opex!$B$16*8/12</f>
        <v>119062.266666667</v>
      </c>
      <c r="C27" s="8" t="n">
        <f aca="false">Opex!$B$16*4/12</f>
        <v>59531.1333333333</v>
      </c>
      <c r="D27" s="9" t="n">
        <f aca="false">B27+C27</f>
        <v>178593.4</v>
      </c>
    </row>
    <row r="28" customFormat="false" ht="15" hidden="false" customHeight="false" outlineLevel="0" collapsed="false">
      <c r="A28" s="3" t="s">
        <v>42</v>
      </c>
      <c r="B28" s="9" t="n">
        <f aca="false">(B13-B9)*Assumptions!$B$26</f>
        <v>23123.65</v>
      </c>
      <c r="C28" s="9" t="n">
        <f aca="false">(C13-C9)*Assumptions!$B$26</f>
        <v>5798.925</v>
      </c>
      <c r="D28" s="9" t="n">
        <f aca="false">B28+C28</f>
        <v>28922.575</v>
      </c>
    </row>
    <row r="29" customFormat="false" ht="15" hidden="false" customHeight="false" outlineLevel="0" collapsed="false">
      <c r="A29" s="3" t="s">
        <v>43</v>
      </c>
      <c r="B29" s="9" t="n">
        <f aca="false">B13*Assumptions!$B$27</f>
        <v>42674.4</v>
      </c>
      <c r="C29" s="9" t="n">
        <f aca="false">C13*Assumptions!$B$27</f>
        <v>10579.2</v>
      </c>
      <c r="D29" s="9" t="n">
        <f aca="false">B29+C29</f>
        <v>53253.6</v>
      </c>
    </row>
    <row r="30" customFormat="false" ht="15" hidden="false" customHeight="false" outlineLevel="0" collapsed="false">
      <c r="A30" s="2" t="s">
        <v>44</v>
      </c>
      <c r="B30" s="10" t="n">
        <f aca="false">SUM(B25:B29)</f>
        <v>460014.716666667</v>
      </c>
      <c r="C30" s="10" t="n">
        <f aca="false">SUM(C25:C29)</f>
        <v>213486.458333333</v>
      </c>
      <c r="D30" s="10" t="n">
        <f aca="false">B30+C30</f>
        <v>673501.175</v>
      </c>
    </row>
    <row r="32" customFormat="false" ht="15" hidden="false" customHeight="false" outlineLevel="0" collapsed="false">
      <c r="A32" s="2" t="s">
        <v>45</v>
      </c>
      <c r="B32" s="12" t="n">
        <f aca="false">B21-B30</f>
        <v>280288.883333333</v>
      </c>
      <c r="C32" s="12" t="n">
        <f aca="false">C21-C30</f>
        <v>-29203.6583333334</v>
      </c>
      <c r="D32" s="12" t="n">
        <f aca="false">B32+C32</f>
        <v>251085.225</v>
      </c>
    </row>
    <row r="33" customFormat="false" ht="15" hidden="false" customHeight="false" outlineLevel="0" collapsed="false">
      <c r="A33" s="3" t="s">
        <v>46</v>
      </c>
      <c r="B33" s="11" t="n">
        <f aca="false">IF(B13=0,0,B32/B13)</f>
        <v>0.26272320954327</v>
      </c>
      <c r="C33" s="11" t="n">
        <f aca="false">IF(C13=0,0,C32/C13)</f>
        <v>-0.110419155827788</v>
      </c>
      <c r="D33" s="11" t="n">
        <f aca="false">IF(D13=0,0,D32/D13)</f>
        <v>0.188595869575015</v>
      </c>
    </row>
    <row r="34" customFormat="false" ht="15" hidden="false" customHeight="false" outlineLevel="0" collapsed="false">
      <c r="A34" s="3" t="s">
        <v>47</v>
      </c>
      <c r="B34" s="8" t="n">
        <f aca="false">Financing!$B$9*8/12</f>
        <v>114712.340559677</v>
      </c>
      <c r="C34" s="8" t="n">
        <f aca="false">Financing!$B$9*4/12</f>
        <v>57356.1702798383</v>
      </c>
      <c r="D34" s="9" t="n">
        <f aca="false">B34+C34</f>
        <v>172068.510839515</v>
      </c>
    </row>
    <row r="35" customFormat="false" ht="15" hidden="false" customHeight="false" outlineLevel="0" collapsed="false">
      <c r="A35" s="2" t="s">
        <v>48</v>
      </c>
      <c r="B35" s="10" t="n">
        <f aca="false">B32-B34</f>
        <v>165576.542773657</v>
      </c>
      <c r="C35" s="10" t="n">
        <f aca="false">C32-C34</f>
        <v>-86559.8286131717</v>
      </c>
      <c r="D35" s="10" t="n">
        <f aca="false">B35+C35</f>
        <v>79016.714160485</v>
      </c>
    </row>
    <row r="37" customFormat="false" ht="15" hidden="false" customHeight="false" outlineLevel="0" collapsed="false">
      <c r="A37" s="2" t="s">
        <v>49</v>
      </c>
    </row>
    <row r="38" customFormat="false" ht="15" hidden="false" customHeight="false" outlineLevel="0" collapsed="false">
      <c r="A38" s="3" t="s">
        <v>50</v>
      </c>
      <c r="D38" s="11" t="n">
        <f aca="false">IF(D13=0,0,Labor!$H$22/D13)</f>
        <v>0.310012168191446</v>
      </c>
    </row>
    <row r="39" customFormat="false" ht="15" hidden="false" customHeight="false" outlineLevel="0" collapsed="false">
      <c r="A39" s="3" t="s">
        <v>51</v>
      </c>
      <c r="D39" s="13" t="n">
        <f aca="false">IF(D4=0,0,D13/D4)</f>
        <v>34.0061302681992</v>
      </c>
    </row>
    <row r="40" customFormat="false" ht="15" hidden="false" customHeight="false" outlineLevel="0" collapsed="false">
      <c r="A40" s="3" t="s">
        <v>52</v>
      </c>
      <c r="D40" s="14" t="n">
        <f aca="false">IF(D34=0,0,D32/D34)</f>
        <v>1.45921658631766</v>
      </c>
    </row>
    <row r="41" customFormat="false" ht="15" hidden="false" customHeight="false" outlineLevel="0" collapsed="false">
      <c r="A41" s="3" t="s">
        <v>53</v>
      </c>
      <c r="D41" s="11" t="n">
        <f aca="false">IF(Financing!$B$6=0,0,D35/Financing!$B$6)</f>
        <v>0.0929389721953481</v>
      </c>
    </row>
    <row r="44" customFormat="false" ht="17.35" hidden="false" customHeight="false" outlineLevel="0" collapsed="false">
      <c r="A44" s="1" t="s">
        <v>54</v>
      </c>
    </row>
    <row r="45" customFormat="false" ht="15" hidden="false" customHeight="false" outlineLevel="0" collapsed="false">
      <c r="A45" s="4" t="s">
        <v>17</v>
      </c>
      <c r="B45" s="5" t="s">
        <v>55</v>
      </c>
      <c r="C45" s="5" t="s">
        <v>56</v>
      </c>
      <c r="D45" s="5" t="s">
        <v>57</v>
      </c>
      <c r="E45" s="5" t="s">
        <v>58</v>
      </c>
      <c r="F45" s="5" t="s">
        <v>59</v>
      </c>
    </row>
    <row r="46" customFormat="false" ht="15" hidden="false" customHeight="false" outlineLevel="0" collapsed="false">
      <c r="A46" s="3" t="s">
        <v>60</v>
      </c>
      <c r="B46" s="15" t="n">
        <f aca="false">Assumptions!$B$39</f>
        <v>0.75</v>
      </c>
      <c r="C46" s="15" t="n">
        <f aca="false">Assumptions!$B$40</f>
        <v>0.9</v>
      </c>
      <c r="D46" s="15" t="n">
        <f aca="false">Assumptions!$B$41</f>
        <v>1</v>
      </c>
      <c r="E46" s="15" t="n">
        <f aca="false">Assumptions!$B$42</f>
        <v>1.03</v>
      </c>
      <c r="F46" s="15" t="n">
        <f aca="false">Assumptions!$B$43</f>
        <v>1.06</v>
      </c>
    </row>
    <row r="47" customFormat="false" ht="15" hidden="false" customHeight="false" outlineLevel="0" collapsed="false">
      <c r="A47" s="2" t="s">
        <v>23</v>
      </c>
      <c r="B47" s="12" t="n">
        <f aca="false">$D$13*B46</f>
        <v>998505</v>
      </c>
      <c r="C47" s="12" t="n">
        <f aca="false">$D$13*C46</f>
        <v>1198206</v>
      </c>
      <c r="D47" s="12" t="n">
        <f aca="false">$D$13*D46</f>
        <v>1331340</v>
      </c>
      <c r="E47" s="12" t="n">
        <f aca="false">$D$13*E46</f>
        <v>1371280.2</v>
      </c>
      <c r="F47" s="12" t="n">
        <f aca="false">$D$13*F46</f>
        <v>1411220.4</v>
      </c>
    </row>
    <row r="48" customFormat="false" ht="15" hidden="false" customHeight="false" outlineLevel="0" collapsed="false">
      <c r="A48" s="3" t="s">
        <v>61</v>
      </c>
      <c r="B48" s="9" t="n">
        <f aca="false">$D$21*B46</f>
        <v>693439.8</v>
      </c>
      <c r="C48" s="9" t="n">
        <f aca="false">$D$21*C46</f>
        <v>832127.76</v>
      </c>
      <c r="D48" s="9" t="n">
        <f aca="false">$D$21*D46</f>
        <v>924586.4</v>
      </c>
      <c r="E48" s="9" t="n">
        <f aca="false">$D$21*E46</f>
        <v>952323.992</v>
      </c>
      <c r="F48" s="9" t="n">
        <f aca="false">$D$21*F46</f>
        <v>980061.584</v>
      </c>
    </row>
    <row r="49" customFormat="false" ht="15" hidden="false" customHeight="false" outlineLevel="0" collapsed="false">
      <c r="A49" s="3" t="s">
        <v>62</v>
      </c>
      <c r="B49" s="8" t="n">
        <f aca="false">Labor!$H$22*(1+Assumptions!$B$38)^0</f>
        <v>412731.6</v>
      </c>
      <c r="C49" s="8" t="n">
        <f aca="false">Labor!$H$22*(1+Assumptions!$B$38)^1</f>
        <v>425113.548</v>
      </c>
      <c r="D49" s="8" t="n">
        <f aca="false">Labor!$H$22*(1+Assumptions!$B$38)^2</f>
        <v>437866.95444</v>
      </c>
      <c r="E49" s="8" t="n">
        <f aca="false">Labor!$H$22*(1+Assumptions!$B$38)^3</f>
        <v>451002.9630732</v>
      </c>
      <c r="F49" s="8" t="n">
        <f aca="false">Labor!$H$22*(1+Assumptions!$B$38)^4</f>
        <v>464533.051965396</v>
      </c>
    </row>
    <row r="50" customFormat="false" ht="15" hidden="false" customHeight="false" outlineLevel="0" collapsed="false">
      <c r="A50" s="3" t="s">
        <v>41</v>
      </c>
      <c r="B50" s="8" t="n">
        <f aca="false">Opex!$B$16*(1+Assumptions!$B$38)^0</f>
        <v>178593.4</v>
      </c>
      <c r="C50" s="8" t="n">
        <f aca="false">Opex!$B$16*(1+Assumptions!$B$38)^1</f>
        <v>183951.202</v>
      </c>
      <c r="D50" s="8" t="n">
        <f aca="false">Opex!$B$16*(1+Assumptions!$B$38)^2</f>
        <v>189469.73806</v>
      </c>
      <c r="E50" s="8" t="n">
        <f aca="false">Opex!$B$16*(1+Assumptions!$B$38)^3</f>
        <v>195153.8302018</v>
      </c>
      <c r="F50" s="8" t="n">
        <f aca="false">Opex!$B$16*(1+Assumptions!$B$38)^4</f>
        <v>201008.445107854</v>
      </c>
    </row>
    <row r="51" customFormat="false" ht="15" hidden="false" customHeight="false" outlineLevel="0" collapsed="false">
      <c r="A51" s="3" t="s">
        <v>63</v>
      </c>
      <c r="B51" s="9" t="n">
        <f aca="false">(SUM($D$28:$D$29))*B46</f>
        <v>61632.13125</v>
      </c>
      <c r="C51" s="9" t="n">
        <f aca="false">(SUM($D$28:$D$29))*C46</f>
        <v>73958.5575</v>
      </c>
      <c r="D51" s="9" t="n">
        <f aca="false">(SUM($D$28:$D$29))*D46</f>
        <v>82176.175</v>
      </c>
      <c r="E51" s="9" t="n">
        <f aca="false">(SUM($D$28:$D$29))*E46</f>
        <v>84641.46025</v>
      </c>
      <c r="F51" s="9" t="n">
        <f aca="false">(SUM($D$28:$D$29))*F46</f>
        <v>87106.7455</v>
      </c>
    </row>
    <row r="52" customFormat="false" ht="15" hidden="false" customHeight="false" outlineLevel="0" collapsed="false">
      <c r="A52" s="2" t="s">
        <v>45</v>
      </c>
      <c r="B52" s="10" t="n">
        <f aca="false">B48-B49-B50-B51</f>
        <v>40482.6687499999</v>
      </c>
      <c r="C52" s="10" t="n">
        <f aca="false">C48-C49-C50-C51</f>
        <v>149104.4525</v>
      </c>
      <c r="D52" s="10" t="n">
        <f aca="false">D48-D49-D50-D51</f>
        <v>215073.5325</v>
      </c>
      <c r="E52" s="10" t="n">
        <f aca="false">E48-E49-E50-E51</f>
        <v>221525.738475</v>
      </c>
      <c r="F52" s="10" t="n">
        <f aca="false">F48-F49-F50-F51</f>
        <v>227413.34142675</v>
      </c>
    </row>
    <row r="53" customFormat="false" ht="15" hidden="false" customHeight="false" outlineLevel="0" collapsed="false">
      <c r="A53" s="3" t="s">
        <v>47</v>
      </c>
      <c r="B53" s="8" t="n">
        <f aca="false">Financing!$B$9</f>
        <v>172068.510839515</v>
      </c>
      <c r="C53" s="8" t="n">
        <f aca="false">Financing!$B$9</f>
        <v>172068.510839515</v>
      </c>
      <c r="D53" s="8" t="n">
        <f aca="false">Financing!$B$9</f>
        <v>172068.510839515</v>
      </c>
      <c r="E53" s="8" t="n">
        <f aca="false">Financing!$B$9</f>
        <v>172068.510839515</v>
      </c>
      <c r="F53" s="8" t="n">
        <f aca="false">Financing!$B$9</f>
        <v>172068.510839515</v>
      </c>
    </row>
    <row r="54" customFormat="false" ht="15" hidden="false" customHeight="false" outlineLevel="0" collapsed="false">
      <c r="A54" s="2" t="s">
        <v>48</v>
      </c>
      <c r="B54" s="10" t="n">
        <f aca="false">B52-B53</f>
        <v>-131585.842089515</v>
      </c>
      <c r="C54" s="10" t="n">
        <f aca="false">C52-C53</f>
        <v>-22964.058339515</v>
      </c>
      <c r="D54" s="10" t="n">
        <f aca="false">D52-D53</f>
        <v>43005.0216604851</v>
      </c>
      <c r="E54" s="10" t="n">
        <f aca="false">E52-E53</f>
        <v>49457.2276354851</v>
      </c>
      <c r="F54" s="10" t="n">
        <f aca="false">F52-F53</f>
        <v>55344.8305872349</v>
      </c>
    </row>
    <row r="55" customFormat="false" ht="15" hidden="false" customHeight="false" outlineLevel="0" collapsed="false">
      <c r="A55" s="3" t="s">
        <v>64</v>
      </c>
      <c r="B55" s="9" t="n">
        <f aca="false">B54</f>
        <v>-131585.842089515</v>
      </c>
      <c r="C55" s="9" t="n">
        <f aca="false">B55+C54</f>
        <v>-154549.90042903</v>
      </c>
      <c r="D55" s="9" t="n">
        <f aca="false">C55+D54</f>
        <v>-111544.878768545</v>
      </c>
      <c r="E55" s="9" t="n">
        <f aca="false">D55+E54</f>
        <v>-62087.6511330598</v>
      </c>
      <c r="F55" s="9" t="n">
        <f aca="false">E55+F54</f>
        <v>-6742.82054582483</v>
      </c>
    </row>
    <row r="56" customFormat="false" ht="15" hidden="false" customHeight="false" outlineLevel="0" collapsed="false">
      <c r="A56" s="3" t="s">
        <v>65</v>
      </c>
      <c r="B56" s="9" t="n">
        <f aca="false">Financing!$B$6-B55</f>
        <v>981785.842089515</v>
      </c>
      <c r="C56" s="9" t="n">
        <f aca="false">Financing!$B$6-C55</f>
        <v>1004749.90042903</v>
      </c>
      <c r="D56" s="9" t="n">
        <f aca="false">Financing!$B$6-D55</f>
        <v>961744.878768545</v>
      </c>
      <c r="E56" s="9" t="n">
        <f aca="false">Financing!$B$6-E55</f>
        <v>912287.65113306</v>
      </c>
      <c r="F56" s="9" t="n">
        <f aca="false">Financing!$B$6-F55</f>
        <v>856942.820545825</v>
      </c>
    </row>
    <row r="58" customFormat="false" ht="15" hidden="false" customHeight="false" outlineLevel="0" collapsed="false">
      <c r="A58" s="3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7" min="4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1" t="s">
        <v>67</v>
      </c>
    </row>
    <row r="3" customFormat="false" ht="15" hidden="false" customHeight="false" outlineLevel="0" collapsed="false">
      <c r="A3" s="3" t="s">
        <v>68</v>
      </c>
      <c r="B3" s="16" t="n">
        <v>12</v>
      </c>
      <c r="C3" s="3" t="s">
        <v>69</v>
      </c>
    </row>
    <row r="4" customFormat="false" ht="15" hidden="false" customHeight="false" outlineLevel="0" collapsed="false">
      <c r="A4" s="3" t="s">
        <v>70</v>
      </c>
      <c r="B4" s="17" t="n">
        <v>60</v>
      </c>
      <c r="C4" s="3" t="s">
        <v>71</v>
      </c>
    </row>
    <row r="5" customFormat="false" ht="15" hidden="false" customHeight="false" outlineLevel="0" collapsed="false">
      <c r="A5" s="3" t="s">
        <v>72</v>
      </c>
      <c r="B5" s="18" t="n">
        <v>1500</v>
      </c>
      <c r="C5" s="3" t="s">
        <v>73</v>
      </c>
    </row>
    <row r="7" customFormat="false" ht="26.85" hidden="false" customHeight="false" outlineLevel="0" collapsed="false">
      <c r="A7" s="4" t="s">
        <v>74</v>
      </c>
      <c r="B7" s="5" t="s">
        <v>75</v>
      </c>
      <c r="C7" s="5" t="s">
        <v>76</v>
      </c>
      <c r="D7" s="5" t="s">
        <v>77</v>
      </c>
      <c r="E7" s="5" t="s">
        <v>78</v>
      </c>
      <c r="F7" s="5" t="s">
        <v>79</v>
      </c>
      <c r="G7" s="5" t="s">
        <v>80</v>
      </c>
      <c r="H7" s="5" t="s">
        <v>81</v>
      </c>
      <c r="I7" s="5" t="s">
        <v>82</v>
      </c>
      <c r="J7" s="5" t="s">
        <v>83</v>
      </c>
      <c r="K7" s="5" t="s">
        <v>84</v>
      </c>
    </row>
    <row r="8" customFormat="false" ht="15" hidden="false" customHeight="false" outlineLevel="0" collapsed="false">
      <c r="A8" s="3" t="s">
        <v>18</v>
      </c>
      <c r="B8" s="3" t="s">
        <v>85</v>
      </c>
      <c r="C8" s="3" t="s">
        <v>86</v>
      </c>
      <c r="D8" s="17" t="n">
        <v>104</v>
      </c>
      <c r="E8" s="17" t="n">
        <v>5</v>
      </c>
      <c r="F8" s="19" t="n">
        <v>40</v>
      </c>
      <c r="G8" s="20" t="n">
        <v>6</v>
      </c>
      <c r="H8" s="20" t="n">
        <v>4</v>
      </c>
      <c r="I8" s="20" t="n">
        <v>3</v>
      </c>
      <c r="J8" s="7" t="n">
        <f aca="false">D8*F8</f>
        <v>4160</v>
      </c>
      <c r="K8" s="9" t="n">
        <f aca="false">J8*(Assumptions!$B$3+G8+H8+I8)</f>
        <v>104000</v>
      </c>
    </row>
    <row r="9" customFormat="false" ht="15" hidden="false" customHeight="false" outlineLevel="0" collapsed="false">
      <c r="A9" s="3" t="s">
        <v>18</v>
      </c>
      <c r="B9" s="3" t="s">
        <v>85</v>
      </c>
      <c r="C9" s="3" t="s">
        <v>87</v>
      </c>
      <c r="D9" s="17" t="n">
        <v>104</v>
      </c>
      <c r="E9" s="17" t="n">
        <v>6</v>
      </c>
      <c r="F9" s="19" t="n">
        <v>70</v>
      </c>
      <c r="G9" s="20" t="n">
        <v>8</v>
      </c>
      <c r="H9" s="20" t="n">
        <v>1</v>
      </c>
      <c r="I9" s="20" t="n">
        <v>16</v>
      </c>
      <c r="J9" s="7" t="n">
        <f aca="false">D9*F9</f>
        <v>7280</v>
      </c>
      <c r="K9" s="9" t="n">
        <f aca="false">J9*(Assumptions!$B$3+G9+H9+I9)</f>
        <v>269360</v>
      </c>
    </row>
    <row r="10" customFormat="false" ht="15" hidden="false" customHeight="false" outlineLevel="0" collapsed="false">
      <c r="A10" s="3" t="s">
        <v>18</v>
      </c>
      <c r="B10" s="3" t="s">
        <v>88</v>
      </c>
      <c r="C10" s="3" t="s">
        <v>86</v>
      </c>
      <c r="D10" s="17" t="n">
        <v>70</v>
      </c>
      <c r="E10" s="17" t="n">
        <v>5</v>
      </c>
      <c r="F10" s="19" t="n">
        <v>140</v>
      </c>
      <c r="G10" s="20" t="n">
        <v>6</v>
      </c>
      <c r="H10" s="20" t="n">
        <v>4</v>
      </c>
      <c r="I10" s="20" t="n">
        <v>3</v>
      </c>
      <c r="J10" s="7" t="n">
        <f aca="false">D10*F10</f>
        <v>9800</v>
      </c>
      <c r="K10" s="9" t="n">
        <f aca="false">J10*(Assumptions!$B$3+G10+H10+I10)</f>
        <v>245000</v>
      </c>
    </row>
    <row r="11" customFormat="false" ht="15" hidden="false" customHeight="false" outlineLevel="0" collapsed="false">
      <c r="A11" s="3" t="s">
        <v>18</v>
      </c>
      <c r="B11" s="3" t="s">
        <v>88</v>
      </c>
      <c r="C11" s="3" t="s">
        <v>87</v>
      </c>
      <c r="D11" s="17" t="n">
        <v>70</v>
      </c>
      <c r="E11" s="17" t="n">
        <v>6</v>
      </c>
      <c r="F11" s="19" t="n">
        <v>150</v>
      </c>
      <c r="G11" s="20" t="n">
        <v>8</v>
      </c>
      <c r="H11" s="20" t="n">
        <v>1</v>
      </c>
      <c r="I11" s="20" t="n">
        <v>16</v>
      </c>
      <c r="J11" s="7" t="n">
        <f aca="false">D11*F11</f>
        <v>10500</v>
      </c>
      <c r="K11" s="9" t="n">
        <f aca="false">J11*(Assumptions!$B$3+G11+H11+I11)</f>
        <v>388500</v>
      </c>
    </row>
    <row r="12" customFormat="false" ht="15" hidden="false" customHeight="false" outlineLevel="0" collapsed="false">
      <c r="A12" s="3" t="s">
        <v>19</v>
      </c>
      <c r="B12" s="3" t="s">
        <v>85</v>
      </c>
      <c r="C12" s="3" t="s">
        <v>86</v>
      </c>
      <c r="D12" s="17" t="n">
        <v>53</v>
      </c>
      <c r="E12" s="17" t="n">
        <v>5</v>
      </c>
      <c r="F12" s="19" t="n">
        <v>15</v>
      </c>
      <c r="G12" s="20" t="n">
        <v>6</v>
      </c>
      <c r="H12" s="20" t="n">
        <v>2</v>
      </c>
      <c r="I12" s="20" t="n">
        <v>3</v>
      </c>
      <c r="J12" s="7" t="n">
        <f aca="false">D12*F12</f>
        <v>795</v>
      </c>
      <c r="K12" s="9" t="n">
        <f aca="false">J12*(Assumptions!$B$3+G12+H12+I12)</f>
        <v>18285</v>
      </c>
    </row>
    <row r="13" customFormat="false" ht="15" hidden="false" customHeight="false" outlineLevel="0" collapsed="false">
      <c r="A13" s="3" t="s">
        <v>19</v>
      </c>
      <c r="B13" s="3" t="s">
        <v>85</v>
      </c>
      <c r="C13" s="3" t="s">
        <v>87</v>
      </c>
      <c r="D13" s="17" t="n">
        <v>53</v>
      </c>
      <c r="E13" s="17" t="n">
        <v>6</v>
      </c>
      <c r="F13" s="19" t="n">
        <v>35</v>
      </c>
      <c r="G13" s="20" t="n">
        <v>8</v>
      </c>
      <c r="H13" s="20" t="n">
        <v>1</v>
      </c>
      <c r="I13" s="20" t="n">
        <v>16</v>
      </c>
      <c r="J13" s="7" t="n">
        <f aca="false">D13*F13</f>
        <v>1855</v>
      </c>
      <c r="K13" s="9" t="n">
        <f aca="false">J13*(Assumptions!$B$3+G13+H13+I13)</f>
        <v>68635</v>
      </c>
    </row>
    <row r="14" customFormat="false" ht="15" hidden="false" customHeight="false" outlineLevel="0" collapsed="false">
      <c r="A14" s="3" t="s">
        <v>19</v>
      </c>
      <c r="B14" s="3" t="s">
        <v>88</v>
      </c>
      <c r="C14" s="3" t="s">
        <v>86</v>
      </c>
      <c r="D14" s="17" t="n">
        <v>34</v>
      </c>
      <c r="E14" s="17" t="n">
        <v>5</v>
      </c>
      <c r="F14" s="19" t="n">
        <v>60</v>
      </c>
      <c r="G14" s="20" t="n">
        <v>6</v>
      </c>
      <c r="H14" s="20" t="n">
        <v>2</v>
      </c>
      <c r="I14" s="20" t="n">
        <v>3</v>
      </c>
      <c r="J14" s="7" t="n">
        <f aca="false">D14*F14</f>
        <v>2040</v>
      </c>
      <c r="K14" s="9" t="n">
        <f aca="false">J14*(Assumptions!$B$3+G14+H14+I14)</f>
        <v>46920</v>
      </c>
    </row>
    <row r="15" customFormat="false" ht="15" hidden="false" customHeight="false" outlineLevel="0" collapsed="false">
      <c r="A15" s="3" t="s">
        <v>19</v>
      </c>
      <c r="B15" s="3" t="s">
        <v>88</v>
      </c>
      <c r="C15" s="3" t="s">
        <v>87</v>
      </c>
      <c r="D15" s="17" t="n">
        <v>34</v>
      </c>
      <c r="E15" s="17" t="n">
        <v>6</v>
      </c>
      <c r="F15" s="19" t="n">
        <v>80</v>
      </c>
      <c r="G15" s="20" t="n">
        <v>8</v>
      </c>
      <c r="H15" s="20" t="n">
        <v>1</v>
      </c>
      <c r="I15" s="20" t="n">
        <v>16</v>
      </c>
      <c r="J15" s="7" t="n">
        <f aca="false">D15*F15</f>
        <v>2720</v>
      </c>
      <c r="K15" s="9" t="n">
        <f aca="false">J15*(Assumptions!$B$3+G15+H15+I15)</f>
        <v>100640</v>
      </c>
    </row>
    <row r="16" customFormat="false" ht="15" hidden="false" customHeight="false" outlineLevel="0" collapsed="false">
      <c r="A16" s="2" t="s">
        <v>89</v>
      </c>
      <c r="J16" s="21" t="n">
        <f aca="false">SUM(J8:J15)</f>
        <v>39150</v>
      </c>
      <c r="K16" s="10" t="n">
        <f aca="false">SUM(K8:K15)</f>
        <v>1241340</v>
      </c>
    </row>
    <row r="17" customFormat="false" ht="15" hidden="false" customHeight="false" outlineLevel="0" collapsed="false">
      <c r="A17" s="3" t="s">
        <v>90</v>
      </c>
    </row>
    <row r="18" customFormat="false" ht="15" hidden="false" customHeight="false" outlineLevel="0" collapsed="false">
      <c r="A18" s="4" t="s">
        <v>91</v>
      </c>
      <c r="B18" s="5" t="s">
        <v>37</v>
      </c>
      <c r="C18" s="5" t="s">
        <v>92</v>
      </c>
    </row>
    <row r="19" customFormat="false" ht="15" hidden="false" customHeight="false" outlineLevel="0" collapsed="false">
      <c r="A19" s="3" t="s">
        <v>24</v>
      </c>
      <c r="B19" s="22" t="n">
        <v>0.95</v>
      </c>
      <c r="C19" s="3" t="s">
        <v>93</v>
      </c>
    </row>
    <row r="20" customFormat="false" ht="15" hidden="false" customHeight="false" outlineLevel="0" collapsed="false">
      <c r="A20" s="3" t="s">
        <v>25</v>
      </c>
      <c r="B20" s="22" t="n">
        <v>0.15</v>
      </c>
      <c r="C20" s="3" t="s">
        <v>94</v>
      </c>
    </row>
    <row r="21" customFormat="false" ht="15" hidden="false" customHeight="false" outlineLevel="0" collapsed="false">
      <c r="A21" s="3" t="s">
        <v>26</v>
      </c>
      <c r="B21" s="22" t="n">
        <v>0.7</v>
      </c>
      <c r="C21" s="3" t="s">
        <v>95</v>
      </c>
    </row>
    <row r="22" customFormat="false" ht="15" hidden="false" customHeight="false" outlineLevel="0" collapsed="false">
      <c r="A22" s="3" t="s">
        <v>27</v>
      </c>
      <c r="B22" s="22" t="n">
        <v>0.76</v>
      </c>
      <c r="C22" s="3" t="s">
        <v>96</v>
      </c>
    </row>
    <row r="23" customFormat="false" ht="15" hidden="false" customHeight="false" outlineLevel="0" collapsed="false">
      <c r="A23" s="3" t="s">
        <v>28</v>
      </c>
      <c r="B23" s="22" t="n">
        <v>0.75</v>
      </c>
      <c r="C23" s="3" t="s">
        <v>97</v>
      </c>
    </row>
    <row r="25" customFormat="false" ht="15" hidden="false" customHeight="false" outlineLevel="0" collapsed="false">
      <c r="A25" s="4" t="s">
        <v>98</v>
      </c>
      <c r="B25" s="5" t="s">
        <v>99</v>
      </c>
      <c r="C25" s="5" t="s">
        <v>100</v>
      </c>
    </row>
    <row r="26" customFormat="false" ht="15" hidden="false" customHeight="false" outlineLevel="0" collapsed="false">
      <c r="A26" s="3" t="s">
        <v>42</v>
      </c>
      <c r="B26" s="23" t="n">
        <v>0.0275</v>
      </c>
      <c r="C26" s="3" t="s">
        <v>101</v>
      </c>
    </row>
    <row r="27" customFormat="false" ht="15" hidden="false" customHeight="false" outlineLevel="0" collapsed="false">
      <c r="A27" s="3" t="s">
        <v>43</v>
      </c>
      <c r="B27" s="23" t="n">
        <v>0.04</v>
      </c>
      <c r="C27" s="3" t="s">
        <v>102</v>
      </c>
    </row>
    <row r="28" customFormat="false" ht="15" hidden="false" customHeight="false" outlineLevel="0" collapsed="false">
      <c r="A28" s="3" t="s">
        <v>103</v>
      </c>
      <c r="B28" s="23" t="n">
        <v>0.1</v>
      </c>
      <c r="C28" s="3" t="s">
        <v>104</v>
      </c>
    </row>
    <row r="29" customFormat="false" ht="15" hidden="false" customHeight="false" outlineLevel="0" collapsed="false">
      <c r="A29" s="3" t="s">
        <v>105</v>
      </c>
      <c r="B29" s="24" t="n">
        <v>1800000</v>
      </c>
      <c r="C29" s="3" t="s">
        <v>106</v>
      </c>
    </row>
    <row r="30" customFormat="false" ht="15" hidden="false" customHeight="false" outlineLevel="0" collapsed="false">
      <c r="A30" s="3" t="s">
        <v>107</v>
      </c>
      <c r="B30" s="25" t="n">
        <v>0.5792</v>
      </c>
      <c r="C30" s="3" t="s">
        <v>108</v>
      </c>
    </row>
    <row r="31" customFormat="false" ht="15" hidden="false" customHeight="false" outlineLevel="0" collapsed="false">
      <c r="A31" s="3" t="s">
        <v>109</v>
      </c>
      <c r="B31" s="25" t="n">
        <v>0.4371</v>
      </c>
      <c r="C31" s="3" t="s">
        <v>110</v>
      </c>
    </row>
    <row r="32" customFormat="false" ht="15" hidden="false" customHeight="false" outlineLevel="0" collapsed="false">
      <c r="A32" s="3" t="s">
        <v>111</v>
      </c>
      <c r="B32" s="17" t="n">
        <v>52</v>
      </c>
      <c r="C32" s="3" t="s">
        <v>112</v>
      </c>
    </row>
    <row r="33" customFormat="false" ht="15" hidden="false" customHeight="false" outlineLevel="0" collapsed="false">
      <c r="A33" s="3" t="s">
        <v>113</v>
      </c>
      <c r="B33" s="23" t="n">
        <v>0.1</v>
      </c>
      <c r="C33" s="3" t="s">
        <v>114</v>
      </c>
    </row>
    <row r="34" customFormat="false" ht="15" hidden="false" customHeight="false" outlineLevel="0" collapsed="false">
      <c r="A34" s="3" t="s">
        <v>115</v>
      </c>
      <c r="B34" s="23" t="n">
        <v>0.22</v>
      </c>
      <c r="C34" s="3" t="s">
        <v>116</v>
      </c>
    </row>
    <row r="35" customFormat="false" ht="15" hidden="false" customHeight="false" outlineLevel="0" collapsed="false">
      <c r="A35" s="3" t="s">
        <v>117</v>
      </c>
      <c r="B35" s="22" t="n">
        <v>0.7</v>
      </c>
      <c r="C35" s="3" t="s">
        <v>118</v>
      </c>
    </row>
    <row r="36" customFormat="false" ht="15" hidden="false" customHeight="false" outlineLevel="0" collapsed="false">
      <c r="A36" s="3" t="s">
        <v>119</v>
      </c>
      <c r="B36" s="26" t="n">
        <v>0.0725</v>
      </c>
      <c r="C36" s="3" t="s">
        <v>120</v>
      </c>
    </row>
    <row r="37" customFormat="false" ht="15" hidden="false" customHeight="false" outlineLevel="0" collapsed="false">
      <c r="A37" s="3" t="s">
        <v>121</v>
      </c>
      <c r="B37" s="17" t="n">
        <v>25</v>
      </c>
      <c r="C37" s="3" t="s">
        <v>122</v>
      </c>
    </row>
    <row r="38" customFormat="false" ht="15" hidden="false" customHeight="false" outlineLevel="0" collapsed="false">
      <c r="A38" s="3" t="s">
        <v>123</v>
      </c>
      <c r="B38" s="23" t="n">
        <v>0.03</v>
      </c>
      <c r="C38" s="3" t="s">
        <v>120</v>
      </c>
    </row>
    <row r="39" customFormat="false" ht="15" hidden="false" customHeight="false" outlineLevel="0" collapsed="false">
      <c r="A39" s="3" t="s">
        <v>124</v>
      </c>
      <c r="B39" s="23" t="n">
        <v>0.75</v>
      </c>
      <c r="C39" s="3" t="s">
        <v>125</v>
      </c>
    </row>
    <row r="40" customFormat="false" ht="15" hidden="false" customHeight="false" outlineLevel="0" collapsed="false">
      <c r="A40" s="3" t="s">
        <v>126</v>
      </c>
      <c r="B40" s="23" t="n">
        <v>0.9</v>
      </c>
      <c r="C40" s="3" t="s">
        <v>125</v>
      </c>
    </row>
    <row r="41" customFormat="false" ht="15" hidden="false" customHeight="false" outlineLevel="0" collapsed="false">
      <c r="A41" s="3" t="s">
        <v>127</v>
      </c>
      <c r="B41" s="23" t="n">
        <v>1</v>
      </c>
      <c r="C41" s="3" t="s">
        <v>125</v>
      </c>
    </row>
    <row r="42" customFormat="false" ht="15" hidden="false" customHeight="false" outlineLevel="0" collapsed="false">
      <c r="A42" s="3" t="s">
        <v>128</v>
      </c>
      <c r="B42" s="23" t="n">
        <v>1.03</v>
      </c>
      <c r="C42" s="3" t="s">
        <v>125</v>
      </c>
    </row>
    <row r="43" customFormat="false" ht="15" hidden="false" customHeight="false" outlineLevel="0" collapsed="false">
      <c r="A43" s="3" t="s">
        <v>129</v>
      </c>
      <c r="B43" s="23" t="n">
        <v>1.06</v>
      </c>
      <c r="C43" s="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9" min="9" style="0" width="52"/>
  </cols>
  <sheetData>
    <row r="1" customFormat="false" ht="17.35" hidden="false" customHeight="false" outlineLevel="0" collapsed="false">
      <c r="A1" s="1" t="s">
        <v>130</v>
      </c>
    </row>
    <row r="3" customFormat="false" ht="26.85" hidden="false" customHeight="false" outlineLevel="0" collapsed="false">
      <c r="A3" s="4" t="s">
        <v>131</v>
      </c>
      <c r="B3" s="5" t="s">
        <v>132</v>
      </c>
      <c r="C3" s="5" t="s">
        <v>133</v>
      </c>
      <c r="D3" s="5" t="s">
        <v>134</v>
      </c>
      <c r="E3" s="5" t="s">
        <v>135</v>
      </c>
      <c r="F3" s="5" t="s">
        <v>136</v>
      </c>
      <c r="G3" s="5" t="s">
        <v>137</v>
      </c>
      <c r="H3" s="5" t="s">
        <v>138</v>
      </c>
      <c r="I3" s="5" t="s">
        <v>92</v>
      </c>
    </row>
    <row r="4" customFormat="false" ht="15" hidden="false" customHeight="false" outlineLevel="0" collapsed="false">
      <c r="A4" s="3" t="s">
        <v>139</v>
      </c>
    </row>
    <row r="5" customFormat="false" ht="15" hidden="false" customHeight="false" outlineLevel="0" collapsed="false">
      <c r="A5" s="3" t="s">
        <v>140</v>
      </c>
      <c r="B5" s="17" t="n">
        <v>1</v>
      </c>
      <c r="C5" s="17" t="n">
        <v>2</v>
      </c>
      <c r="D5" s="17" t="n">
        <v>2</v>
      </c>
      <c r="E5" s="17" t="n">
        <v>3</v>
      </c>
      <c r="F5" s="7" t="n">
        <f aca="false">B5*(Assumptions!$D$8*Assumptions!$E$8+Assumptions!$D$12*Assumptions!$E$12)+C5*(Assumptions!$D$9*Assumptions!$E$9+Assumptions!$D$13*Assumptions!$E$13)+D5*(Assumptions!$D$10*Assumptions!$E$10+Assumptions!$D$14*Assumptions!$E$14)+E5*(Assumptions!$D$11*Assumptions!$E$11+Assumptions!$D$15*Assumptions!$E$15)</f>
        <v>5581</v>
      </c>
      <c r="G5" s="20" t="n">
        <v>15</v>
      </c>
      <c r="H5" s="9" t="n">
        <f aca="false">F5*G5</f>
        <v>83715</v>
      </c>
      <c r="I5" s="3" t="s">
        <v>141</v>
      </c>
    </row>
    <row r="6" customFormat="false" ht="15" hidden="false" customHeight="false" outlineLevel="0" collapsed="false">
      <c r="A6" s="3" t="s">
        <v>142</v>
      </c>
      <c r="B6" s="17" t="n">
        <v>1</v>
      </c>
      <c r="C6" s="17" t="n">
        <v>2</v>
      </c>
      <c r="D6" s="17" t="n">
        <v>1</v>
      </c>
      <c r="E6" s="17" t="n">
        <v>3</v>
      </c>
      <c r="F6" s="7" t="n">
        <f aca="false">B6*(Assumptions!$D$8*Assumptions!$E$8+Assumptions!$D$12*Assumptions!$E$12)+C6*(Assumptions!$D$9*Assumptions!$E$9+Assumptions!$D$13*Assumptions!$E$13)+D6*(Assumptions!$D$10*Assumptions!$E$10+Assumptions!$D$14*Assumptions!$E$14)+E6*(Assumptions!$D$11*Assumptions!$E$11+Assumptions!$D$15*Assumptions!$E$15)</f>
        <v>5061</v>
      </c>
      <c r="G6" s="20" t="n">
        <v>7</v>
      </c>
      <c r="H6" s="9" t="n">
        <f aca="false">F6*G6</f>
        <v>35427</v>
      </c>
      <c r="I6" s="3" t="s">
        <v>143</v>
      </c>
    </row>
    <row r="7" customFormat="false" ht="15" hidden="false" customHeight="false" outlineLevel="0" collapsed="false">
      <c r="A7" s="3" t="s">
        <v>144</v>
      </c>
      <c r="B7" s="17" t="n">
        <v>1</v>
      </c>
      <c r="C7" s="17" t="n">
        <v>0</v>
      </c>
      <c r="D7" s="17" t="n">
        <v>2</v>
      </c>
      <c r="E7" s="17" t="n">
        <v>1</v>
      </c>
      <c r="F7" s="7" t="n">
        <f aca="false">B7*(Assumptions!$D$8*Assumptions!$E$8+Assumptions!$D$12*Assumptions!$E$12)+C7*(Assumptions!$D$9*Assumptions!$E$9+Assumptions!$D$13*Assumptions!$E$13)+D7*(Assumptions!$D$10*Assumptions!$E$10+Assumptions!$D$14*Assumptions!$E$14)+E7*(Assumptions!$D$11*Assumptions!$E$11+Assumptions!$D$15*Assumptions!$E$15)</f>
        <v>2449</v>
      </c>
      <c r="G7" s="20" t="n">
        <v>14</v>
      </c>
      <c r="H7" s="9" t="n">
        <f aca="false">F7*G7</f>
        <v>34286</v>
      </c>
      <c r="I7" s="3" t="s">
        <v>145</v>
      </c>
    </row>
    <row r="8" customFormat="false" ht="15" hidden="false" customHeight="false" outlineLevel="0" collapsed="false">
      <c r="A8" s="3" t="s">
        <v>146</v>
      </c>
      <c r="B8" s="17" t="n">
        <v>0</v>
      </c>
      <c r="C8" s="17" t="n">
        <v>1</v>
      </c>
      <c r="D8" s="17" t="n">
        <v>1</v>
      </c>
      <c r="E8" s="17" t="n">
        <v>2</v>
      </c>
      <c r="F8" s="7" t="n">
        <f aca="false">B8*(Assumptions!$D$8*Assumptions!$E$8+Assumptions!$D$12*Assumptions!$E$12)+C8*(Assumptions!$D$9*Assumptions!$E$9+Assumptions!$D$13*Assumptions!$E$13)+D8*(Assumptions!$D$10*Assumptions!$E$10+Assumptions!$D$14*Assumptions!$E$14)+E8*(Assumptions!$D$11*Assumptions!$E$11+Assumptions!$D$15*Assumptions!$E$15)</f>
        <v>2710</v>
      </c>
      <c r="G8" s="20" t="n">
        <v>15</v>
      </c>
      <c r="H8" s="9" t="n">
        <f aca="false">F8*G8</f>
        <v>40650</v>
      </c>
      <c r="I8" s="3" t="s">
        <v>147</v>
      </c>
    </row>
    <row r="9" customFormat="false" ht="15" hidden="false" customHeight="false" outlineLevel="0" collapsed="false">
      <c r="A9" s="3" t="s">
        <v>148</v>
      </c>
      <c r="B9" s="17" t="n">
        <v>0</v>
      </c>
      <c r="C9" s="17" t="n">
        <v>0</v>
      </c>
      <c r="D9" s="17" t="n">
        <v>0</v>
      </c>
      <c r="E9" s="17" t="n">
        <v>1</v>
      </c>
      <c r="F9" s="7" t="n">
        <f aca="false">B9*(Assumptions!$D$8*Assumptions!$E$8+Assumptions!$D$12*Assumptions!$E$12)+C9*(Assumptions!$D$9*Assumptions!$E$9+Assumptions!$D$13*Assumptions!$E$13)+D9*(Assumptions!$D$10*Assumptions!$E$10+Assumptions!$D$14*Assumptions!$E$14)+E9*(Assumptions!$D$11*Assumptions!$E$11+Assumptions!$D$15*Assumptions!$E$15)</f>
        <v>624</v>
      </c>
      <c r="G9" s="20" t="n">
        <v>22</v>
      </c>
      <c r="H9" s="9" t="n">
        <f aca="false">F9*G9</f>
        <v>13728</v>
      </c>
      <c r="I9" s="3" t="s">
        <v>149</v>
      </c>
    </row>
    <row r="10" customFormat="false" ht="15" hidden="false" customHeight="false" outlineLevel="0" collapsed="false">
      <c r="A10" s="3" t="s">
        <v>150</v>
      </c>
      <c r="B10" s="17" t="n">
        <v>2</v>
      </c>
      <c r="C10" s="27" t="n">
        <v>1</v>
      </c>
      <c r="F10" s="7" t="n">
        <f aca="false">B10*C10*(Assumptions!$D$8+Assumptions!$D$10+Assumptions!$D$12+Assumptions!$D$14)</f>
        <v>522</v>
      </c>
      <c r="G10" s="20" t="n">
        <v>15</v>
      </c>
      <c r="H10" s="9" t="n">
        <f aca="false">F10*G10</f>
        <v>7830</v>
      </c>
      <c r="I10" s="3" t="s">
        <v>151</v>
      </c>
    </row>
    <row r="11" customFormat="false" ht="15" hidden="false" customHeight="false" outlineLevel="0" collapsed="false">
      <c r="A11" s="3" t="s">
        <v>152</v>
      </c>
      <c r="B11" s="17" t="n">
        <v>20</v>
      </c>
      <c r="F11" s="7" t="n">
        <f aca="false">B11*Assumptions!$B$32</f>
        <v>1040</v>
      </c>
      <c r="G11" s="20" t="n">
        <v>18</v>
      </c>
      <c r="H11" s="9" t="n">
        <f aca="false">F11*G11</f>
        <v>18720</v>
      </c>
      <c r="I11" s="3" t="s">
        <v>153</v>
      </c>
    </row>
    <row r="12" customFormat="false" ht="15" hidden="false" customHeight="false" outlineLevel="0" collapsed="false">
      <c r="A12" s="2" t="s">
        <v>154</v>
      </c>
      <c r="F12" s="21" t="n">
        <f aca="false">SUM(F5:F11)</f>
        <v>17987</v>
      </c>
      <c r="H12" s="10" t="n">
        <f aca="false">SUM(H5:H11)</f>
        <v>234356</v>
      </c>
    </row>
    <row r="13" customFormat="false" ht="15" hidden="false" customHeight="false" outlineLevel="0" collapsed="false">
      <c r="A13" s="3" t="s">
        <v>155</v>
      </c>
      <c r="H13" s="9" t="n">
        <f aca="false">Labor!$H$12*Assumptions!$B$33</f>
        <v>23435.6</v>
      </c>
    </row>
    <row r="14" customFormat="false" ht="15" hidden="false" customHeight="false" outlineLevel="0" collapsed="false">
      <c r="A14" s="2" t="s">
        <v>156</v>
      </c>
      <c r="H14" s="12" t="n">
        <f aca="false">Labor!$H$12*(1+Assumptions!$B$33)</f>
        <v>257791.6</v>
      </c>
    </row>
    <row r="16" customFormat="false" ht="15" hidden="false" customHeight="false" outlineLevel="0" collapsed="false">
      <c r="A16" s="4" t="s">
        <v>157</v>
      </c>
      <c r="B16" s="5"/>
      <c r="C16" s="5"/>
      <c r="D16" s="5"/>
      <c r="E16" s="5"/>
      <c r="F16" s="5"/>
      <c r="G16" s="5"/>
      <c r="H16" s="5" t="s">
        <v>158</v>
      </c>
      <c r="I16" s="5" t="s">
        <v>92</v>
      </c>
    </row>
    <row r="17" customFormat="false" ht="15" hidden="false" customHeight="false" outlineLevel="0" collapsed="false">
      <c r="A17" s="3" t="s">
        <v>159</v>
      </c>
      <c r="H17" s="18" t="n">
        <v>70000</v>
      </c>
      <c r="I17" s="3" t="s">
        <v>160</v>
      </c>
    </row>
    <row r="18" customFormat="false" ht="15" hidden="false" customHeight="false" outlineLevel="0" collapsed="false">
      <c r="A18" s="3" t="s">
        <v>161</v>
      </c>
      <c r="H18" s="18" t="n">
        <v>50000</v>
      </c>
      <c r="I18" s="3" t="s">
        <v>162</v>
      </c>
    </row>
    <row r="19" customFormat="false" ht="15" hidden="false" customHeight="false" outlineLevel="0" collapsed="false">
      <c r="A19" s="3" t="s">
        <v>163</v>
      </c>
      <c r="H19" s="18" t="n">
        <v>7000</v>
      </c>
    </row>
    <row r="20" customFormat="false" ht="15" hidden="false" customHeight="false" outlineLevel="0" collapsed="false">
      <c r="A20" s="2" t="s">
        <v>164</v>
      </c>
      <c r="H20" s="10" t="n">
        <f aca="false">SUM(H17:H19)*(1+Assumptions!$B$34)</f>
        <v>154940</v>
      </c>
    </row>
    <row r="22" customFormat="false" ht="15" hidden="false" customHeight="false" outlineLevel="0" collapsed="false">
      <c r="A22" s="2" t="s">
        <v>165</v>
      </c>
      <c r="H22" s="10" t="n">
        <f aca="false">Labor!$H$14+Labor!$H$20</f>
        <v>412731.6</v>
      </c>
    </row>
    <row r="24" customFormat="false" ht="15" hidden="false" customHeight="false" outlineLevel="0" collapsed="false">
      <c r="A24" s="3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6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3" t="s">
        <v>168</v>
      </c>
    </row>
    <row r="3" customFormat="false" ht="15" hidden="false" customHeight="false" outlineLevel="0" collapsed="false">
      <c r="A3" s="4" t="s">
        <v>169</v>
      </c>
      <c r="B3" s="5" t="s">
        <v>170</v>
      </c>
      <c r="C3" s="5" t="s">
        <v>171</v>
      </c>
      <c r="D3" s="5" t="s">
        <v>172</v>
      </c>
      <c r="E3" s="5" t="s">
        <v>173</v>
      </c>
    </row>
    <row r="4" customFormat="false" ht="15" hidden="false" customHeight="false" outlineLevel="0" collapsed="false">
      <c r="A4" s="3" t="s">
        <v>174</v>
      </c>
      <c r="B4" s="3" t="s">
        <v>175</v>
      </c>
      <c r="C4" s="24" t="n">
        <v>1800000</v>
      </c>
      <c r="D4" s="18" t="n">
        <v>1800000</v>
      </c>
      <c r="E4" s="3" t="s">
        <v>176</v>
      </c>
    </row>
    <row r="5" customFormat="false" ht="15" hidden="false" customHeight="false" outlineLevel="0" collapsed="false">
      <c r="A5" s="3" t="s">
        <v>174</v>
      </c>
      <c r="B5" s="3" t="s">
        <v>177</v>
      </c>
      <c r="C5" s="24" t="n">
        <v>36000</v>
      </c>
      <c r="D5" s="18" t="n">
        <v>36000</v>
      </c>
      <c r="E5" s="3" t="s">
        <v>178</v>
      </c>
    </row>
    <row r="6" customFormat="false" ht="15" hidden="false" customHeight="false" outlineLevel="0" collapsed="false">
      <c r="A6" s="3" t="s">
        <v>174</v>
      </c>
      <c r="B6" s="3" t="s">
        <v>179</v>
      </c>
      <c r="C6" s="24" t="n">
        <v>8000</v>
      </c>
      <c r="D6" s="18" t="n">
        <v>8000</v>
      </c>
      <c r="E6" s="3" t="s">
        <v>180</v>
      </c>
    </row>
    <row r="7" customFormat="false" ht="15" hidden="false" customHeight="false" outlineLevel="0" collapsed="false">
      <c r="A7" s="3" t="s">
        <v>181</v>
      </c>
      <c r="B7" s="3" t="s">
        <v>182</v>
      </c>
      <c r="C7" s="24" t="n">
        <v>25000</v>
      </c>
      <c r="D7" s="18" t="n">
        <v>25000</v>
      </c>
      <c r="E7" s="3" t="s">
        <v>180</v>
      </c>
    </row>
    <row r="8" customFormat="false" ht="15" hidden="false" customHeight="false" outlineLevel="0" collapsed="false">
      <c r="A8" s="3" t="s">
        <v>183</v>
      </c>
      <c r="B8" s="3" t="s">
        <v>184</v>
      </c>
      <c r="C8" s="24" t="n">
        <v>200000</v>
      </c>
      <c r="D8" s="18" t="n">
        <v>200000</v>
      </c>
      <c r="E8" s="3" t="s">
        <v>185</v>
      </c>
    </row>
    <row r="9" customFormat="false" ht="15" hidden="false" customHeight="false" outlineLevel="0" collapsed="false">
      <c r="A9" s="3" t="s">
        <v>186</v>
      </c>
      <c r="B9" s="3" t="s">
        <v>187</v>
      </c>
      <c r="C9" s="24" t="n">
        <v>100000</v>
      </c>
      <c r="D9" s="18" t="n">
        <v>100000</v>
      </c>
      <c r="E9" s="3" t="s">
        <v>180</v>
      </c>
    </row>
    <row r="10" customFormat="false" ht="15" hidden="false" customHeight="false" outlineLevel="0" collapsed="false">
      <c r="A10" s="3" t="s">
        <v>186</v>
      </c>
      <c r="B10" s="3" t="s">
        <v>188</v>
      </c>
      <c r="C10" s="24" t="n">
        <v>100000</v>
      </c>
      <c r="D10" s="18" t="n">
        <v>100000</v>
      </c>
      <c r="E10" s="3" t="s">
        <v>180</v>
      </c>
    </row>
    <row r="11" customFormat="false" ht="15" hidden="false" customHeight="false" outlineLevel="0" collapsed="false">
      <c r="A11" s="3" t="s">
        <v>186</v>
      </c>
      <c r="B11" s="3" t="s">
        <v>189</v>
      </c>
      <c r="C11" s="24" t="n">
        <v>75000</v>
      </c>
      <c r="D11" s="18" t="n">
        <v>75000</v>
      </c>
      <c r="E11" s="3" t="s">
        <v>180</v>
      </c>
    </row>
    <row r="12" customFormat="false" ht="15" hidden="false" customHeight="false" outlineLevel="0" collapsed="false">
      <c r="A12" s="3" t="s">
        <v>190</v>
      </c>
      <c r="B12" s="3" t="s">
        <v>191</v>
      </c>
      <c r="C12" s="24" t="n">
        <v>175000</v>
      </c>
      <c r="D12" s="18" t="n">
        <v>175000</v>
      </c>
      <c r="E12" s="3" t="s">
        <v>192</v>
      </c>
    </row>
    <row r="13" customFormat="false" ht="15" hidden="false" customHeight="false" outlineLevel="0" collapsed="false">
      <c r="A13" s="3" t="s">
        <v>190</v>
      </c>
      <c r="B13" s="3" t="s">
        <v>193</v>
      </c>
      <c r="C13" s="24" t="n">
        <v>35000</v>
      </c>
      <c r="D13" s="18" t="n">
        <v>35000</v>
      </c>
      <c r="E13" s="3" t="s">
        <v>192</v>
      </c>
    </row>
    <row r="14" customFormat="false" ht="15" hidden="false" customHeight="false" outlineLevel="0" collapsed="false">
      <c r="A14" s="3" t="s">
        <v>190</v>
      </c>
      <c r="B14" s="3" t="s">
        <v>194</v>
      </c>
      <c r="C14" s="24" t="n">
        <v>30000</v>
      </c>
      <c r="D14" s="18" t="n">
        <v>30000</v>
      </c>
      <c r="E14" s="3" t="s">
        <v>192</v>
      </c>
    </row>
    <row r="15" customFormat="false" ht="15" hidden="false" customHeight="false" outlineLevel="0" collapsed="false">
      <c r="A15" s="3" t="s">
        <v>195</v>
      </c>
      <c r="B15" s="3" t="s">
        <v>196</v>
      </c>
      <c r="C15" s="24" t="n">
        <v>75000</v>
      </c>
      <c r="D15" s="18" t="n">
        <v>75000</v>
      </c>
      <c r="E15" s="3" t="s">
        <v>197</v>
      </c>
    </row>
    <row r="16" customFormat="false" ht="15" hidden="false" customHeight="false" outlineLevel="0" collapsed="false">
      <c r="A16" s="3" t="s">
        <v>198</v>
      </c>
      <c r="B16" s="3" t="s">
        <v>199</v>
      </c>
      <c r="C16" s="24" t="n">
        <v>20000</v>
      </c>
      <c r="D16" s="18" t="n">
        <v>20000</v>
      </c>
      <c r="E16" s="3" t="s">
        <v>180</v>
      </c>
    </row>
    <row r="17" customFormat="false" ht="15" hidden="false" customHeight="false" outlineLevel="0" collapsed="false">
      <c r="A17" s="3" t="s">
        <v>198</v>
      </c>
      <c r="B17" s="3" t="s">
        <v>200</v>
      </c>
      <c r="C17" s="24" t="n">
        <v>20000</v>
      </c>
      <c r="D17" s="18" t="n">
        <v>20000</v>
      </c>
      <c r="E17" s="3" t="s">
        <v>180</v>
      </c>
    </row>
    <row r="18" customFormat="false" ht="15" hidden="false" customHeight="false" outlineLevel="0" collapsed="false">
      <c r="A18" s="3" t="s">
        <v>201</v>
      </c>
      <c r="B18" s="3" t="s">
        <v>202</v>
      </c>
      <c r="C18" s="24" t="n">
        <v>20000</v>
      </c>
      <c r="D18" s="18" t="n">
        <v>20000</v>
      </c>
      <c r="E18" s="3" t="s">
        <v>180</v>
      </c>
    </row>
    <row r="19" customFormat="false" ht="15" hidden="false" customHeight="false" outlineLevel="0" collapsed="false">
      <c r="A19" s="3" t="s">
        <v>203</v>
      </c>
      <c r="B19" s="3" t="s">
        <v>204</v>
      </c>
      <c r="C19" s="24" t="n">
        <v>25000</v>
      </c>
      <c r="D19" s="18" t="n">
        <v>25000</v>
      </c>
      <c r="E19" s="3" t="s">
        <v>180</v>
      </c>
    </row>
    <row r="20" customFormat="false" ht="15" hidden="false" customHeight="false" outlineLevel="0" collapsed="false">
      <c r="B20" s="2" t="s">
        <v>205</v>
      </c>
      <c r="C20" s="10" t="n">
        <f aca="false">SUMIFS(C4:C19,$A$4:$A$19,"Acquisition")</f>
        <v>1844000</v>
      </c>
      <c r="D20" s="10" t="n">
        <f aca="false">SUMIFS(D4:D19,$A$4:$A$19,"Acquisition")</f>
        <v>1844000</v>
      </c>
    </row>
    <row r="21" customFormat="false" ht="15" hidden="false" customHeight="false" outlineLevel="0" collapsed="false">
      <c r="B21" s="2" t="s">
        <v>206</v>
      </c>
      <c r="C21" s="12" t="n">
        <f aca="false">SUM(C4:C19)-C20</f>
        <v>900000</v>
      </c>
      <c r="D21" s="12" t="n">
        <f aca="false">SUM(D4:D19)-D20</f>
        <v>900000</v>
      </c>
    </row>
    <row r="22" customFormat="false" ht="15" hidden="false" customHeight="false" outlineLevel="0" collapsed="false">
      <c r="B22" s="3" t="s">
        <v>207</v>
      </c>
      <c r="C22" s="9" t="n">
        <f aca="false">C21*Assumptions!$B$28</f>
        <v>90000</v>
      </c>
      <c r="D22" s="9" t="n">
        <f aca="false">D21*Assumptions!$B$28</f>
        <v>90000</v>
      </c>
    </row>
    <row r="23" customFormat="false" ht="15" hidden="false" customHeight="false" outlineLevel="0" collapsed="false">
      <c r="B23" s="2" t="s">
        <v>208</v>
      </c>
      <c r="C23" s="10" t="n">
        <f aca="false">C20+C21+C22</f>
        <v>2834000</v>
      </c>
      <c r="D23" s="10" t="n">
        <f aca="false">D20+D21+D22</f>
        <v>2834000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209</v>
      </c>
    </row>
    <row r="3" customFormat="false" ht="15" hidden="false" customHeight="false" outlineLevel="0" collapsed="false">
      <c r="A3" s="4" t="s">
        <v>170</v>
      </c>
      <c r="B3" s="5" t="s">
        <v>55</v>
      </c>
      <c r="C3" s="5" t="s">
        <v>173</v>
      </c>
    </row>
    <row r="4" customFormat="false" ht="15" hidden="false" customHeight="false" outlineLevel="0" collapsed="false">
      <c r="A4" s="3" t="s">
        <v>210</v>
      </c>
      <c r="B4" s="8" t="n">
        <f aca="false">Assumptions!$B$29*(Assumptions!$B$30+Assumptions!$B$31)/100</f>
        <v>18293.4</v>
      </c>
      <c r="C4" s="3" t="s">
        <v>211</v>
      </c>
    </row>
    <row r="5" customFormat="false" ht="15" hidden="false" customHeight="false" outlineLevel="0" collapsed="false">
      <c r="A5" s="3" t="s">
        <v>212</v>
      </c>
      <c r="B5" s="18" t="n">
        <v>40000</v>
      </c>
      <c r="C5" s="3" t="s">
        <v>213</v>
      </c>
    </row>
    <row r="6" customFormat="false" ht="15" hidden="false" customHeight="false" outlineLevel="0" collapsed="false">
      <c r="A6" s="3" t="s">
        <v>214</v>
      </c>
      <c r="B6" s="18" t="n">
        <v>36000</v>
      </c>
      <c r="C6" s="3" t="s">
        <v>192</v>
      </c>
    </row>
    <row r="7" customFormat="false" ht="15" hidden="false" customHeight="false" outlineLevel="0" collapsed="false">
      <c r="A7" s="3" t="s">
        <v>215</v>
      </c>
      <c r="B7" s="18" t="n">
        <v>20000</v>
      </c>
      <c r="C7" s="3" t="s">
        <v>216</v>
      </c>
    </row>
    <row r="8" customFormat="false" ht="15" hidden="false" customHeight="false" outlineLevel="0" collapsed="false">
      <c r="A8" s="3" t="s">
        <v>217</v>
      </c>
      <c r="B8" s="18" t="n">
        <v>15000</v>
      </c>
      <c r="C8" s="3" t="s">
        <v>192</v>
      </c>
    </row>
    <row r="9" customFormat="false" ht="15" hidden="false" customHeight="false" outlineLevel="0" collapsed="false">
      <c r="A9" s="3" t="s">
        <v>218</v>
      </c>
      <c r="B9" s="18" t="n">
        <v>7200</v>
      </c>
      <c r="C9" s="3" t="s">
        <v>192</v>
      </c>
    </row>
    <row r="10" customFormat="false" ht="15" hidden="false" customHeight="false" outlineLevel="0" collapsed="false">
      <c r="A10" s="3" t="s">
        <v>219</v>
      </c>
      <c r="B10" s="18" t="n">
        <v>3000</v>
      </c>
      <c r="C10" s="3" t="s">
        <v>220</v>
      </c>
    </row>
    <row r="11" customFormat="false" ht="15" hidden="false" customHeight="false" outlineLevel="0" collapsed="false">
      <c r="A11" s="3" t="s">
        <v>221</v>
      </c>
      <c r="B11" s="18" t="n">
        <v>3500</v>
      </c>
      <c r="C11" s="3" t="s">
        <v>192</v>
      </c>
    </row>
    <row r="12" customFormat="false" ht="15" hidden="false" customHeight="false" outlineLevel="0" collapsed="false">
      <c r="A12" s="3" t="s">
        <v>222</v>
      </c>
      <c r="B12" s="18" t="n">
        <v>9000</v>
      </c>
      <c r="C12" s="3" t="s">
        <v>192</v>
      </c>
    </row>
    <row r="13" customFormat="false" ht="15" hidden="false" customHeight="false" outlineLevel="0" collapsed="false">
      <c r="A13" s="3" t="s">
        <v>223</v>
      </c>
      <c r="B13" s="18" t="n">
        <v>3600</v>
      </c>
      <c r="C13" s="3" t="s">
        <v>192</v>
      </c>
    </row>
    <row r="14" customFormat="false" ht="15" hidden="false" customHeight="false" outlineLevel="0" collapsed="false">
      <c r="A14" s="3" t="s">
        <v>224</v>
      </c>
      <c r="B14" s="18" t="n">
        <v>15000</v>
      </c>
      <c r="C14" s="3" t="s">
        <v>192</v>
      </c>
    </row>
    <row r="15" customFormat="false" ht="15" hidden="false" customHeight="false" outlineLevel="0" collapsed="false">
      <c r="A15" s="3" t="s">
        <v>225</v>
      </c>
      <c r="B15" s="18" t="n">
        <v>8000</v>
      </c>
      <c r="C15" s="3" t="s">
        <v>192</v>
      </c>
    </row>
    <row r="16" customFormat="false" ht="15" hidden="false" customHeight="false" outlineLevel="0" collapsed="false">
      <c r="A16" s="2" t="s">
        <v>226</v>
      </c>
      <c r="B16" s="10" t="n">
        <f aca="false">SUM(B4:B15)</f>
        <v>178593.4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227</v>
      </c>
    </row>
    <row r="3" customFormat="false" ht="15" hidden="false" customHeight="false" outlineLevel="0" collapsed="false">
      <c r="A3" s="3" t="s">
        <v>208</v>
      </c>
      <c r="B3" s="8" t="n">
        <f aca="false">Capex!$C$23</f>
        <v>2834000</v>
      </c>
    </row>
    <row r="4" customFormat="false" ht="15" hidden="false" customHeight="false" outlineLevel="0" collapsed="false">
      <c r="A4" s="3" t="s">
        <v>228</v>
      </c>
      <c r="B4" s="15" t="n">
        <f aca="false">Assumptions!$B$35</f>
        <v>0.7</v>
      </c>
    </row>
    <row r="5" customFormat="false" ht="15" hidden="false" customHeight="false" outlineLevel="0" collapsed="false">
      <c r="A5" s="3" t="s">
        <v>229</v>
      </c>
      <c r="B5" s="9" t="n">
        <f aca="false">B3*B4</f>
        <v>1983800</v>
      </c>
    </row>
    <row r="6" customFormat="false" ht="15" hidden="false" customHeight="false" outlineLevel="0" collapsed="false">
      <c r="A6" s="3" t="s">
        <v>230</v>
      </c>
      <c r="B6" s="9" t="n">
        <f aca="false">B3-B5</f>
        <v>850200</v>
      </c>
    </row>
    <row r="7" customFormat="false" ht="15" hidden="false" customHeight="false" outlineLevel="0" collapsed="false">
      <c r="A7" s="3" t="s">
        <v>119</v>
      </c>
      <c r="B7" s="28" t="n">
        <f aca="false">Assumptions!$B$36</f>
        <v>0.0725</v>
      </c>
    </row>
    <row r="8" customFormat="false" ht="15" hidden="false" customHeight="false" outlineLevel="0" collapsed="false">
      <c r="A8" s="3" t="s">
        <v>231</v>
      </c>
      <c r="B8" s="6" t="n">
        <f aca="false">Assumptions!$B$37</f>
        <v>25</v>
      </c>
    </row>
    <row r="9" customFormat="false" ht="15" hidden="false" customHeight="false" outlineLevel="0" collapsed="false">
      <c r="A9" s="2" t="s">
        <v>232</v>
      </c>
      <c r="B9" s="12" t="n">
        <f aca="false">-PMT(B7/12,B8*12,B5)*12</f>
        <v>172068.510839515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2026-10-13T18:16:39Z</dcterms:created>
  <dc:creator>openpyxl</dc:creator>
  <dc:description/>
  <dc:language>en-US</dc:language>
  <cp:lastModifiedBy/>
  <dcterms:modified xsi:type="dcterms:W3CDTF">2026-10-13T18:16:39Z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